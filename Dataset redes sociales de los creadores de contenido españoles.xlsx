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PEO" sheetId="1" r:id="rId5"/>
    <sheet state="visible" name="TEMPLATE" sheetId="2" r:id="rId6"/>
    <sheet state="visible" name="INSTAGRAM" sheetId="3" r:id="rId7"/>
    <sheet state="visible" name="TIKTOK" sheetId="4" r:id="rId8"/>
  </sheets>
  <definedNames/>
  <calcPr/>
</workbook>
</file>

<file path=xl/sharedStrings.xml><?xml version="1.0" encoding="utf-8"?>
<sst xmlns="http://schemas.openxmlformats.org/spreadsheetml/2006/main" count="352" uniqueCount="70">
  <si>
    <t>ALCANCE Y VISIBILIDAD</t>
  </si>
  <si>
    <t>Métrica original</t>
  </si>
  <si>
    <t>Disponible en Instagram</t>
  </si>
  <si>
    <t>Disponible en TikTok</t>
  </si>
  <si>
    <t>Impresiones</t>
  </si>
  <si>
    <t>Organic Posts Views / Avg Organic Views</t>
  </si>
  <si>
    <t>Views</t>
  </si>
  <si>
    <t>RECOGIDA DE DATOS DE INSTAGRAM</t>
  </si>
  <si>
    <t>Alcance</t>
  </si>
  <si>
    <t>Organic Posts Reach</t>
  </si>
  <si>
    <t>-</t>
  </si>
  <si>
    <t>TEMPLATE; PLANTILAL PARA LA RECOGIDA DE DATOS</t>
  </si>
  <si>
    <t>Evolución de seguidores</t>
  </si>
  <si>
    <t>Followers Growth</t>
  </si>
  <si>
    <t>Tasa de crecimiento</t>
  </si>
  <si>
    <t>Followers Growth Percent</t>
  </si>
  <si>
    <t>ENGAGEMENT</t>
  </si>
  <si>
    <t>Número de interacciones</t>
  </si>
  <si>
    <t>Engagement</t>
  </si>
  <si>
    <t>Tasa de engagement por seguidores</t>
  </si>
  <si>
    <t>Avg. Eng. Rate by Followers</t>
  </si>
  <si>
    <t>RECOGIDA DE DATOS DE TIKTOK</t>
  </si>
  <si>
    <t>Tasa de engagement por visualizaciones</t>
  </si>
  <si>
    <t>Avg. Eng. Rate by Views</t>
  </si>
  <si>
    <t>Ratio de likes por publicación</t>
  </si>
  <si>
    <t>Likes</t>
  </si>
  <si>
    <t>Perfil</t>
  </si>
  <si>
    <t>Ratio de comentarios por publicación</t>
  </si>
  <si>
    <t>Comments</t>
  </si>
  <si>
    <t>Número de compartidos</t>
  </si>
  <si>
    <t>Shares</t>
  </si>
  <si>
    <t>Número de guardados</t>
  </si>
  <si>
    <t>Periodo (Fecha)</t>
  </si>
  <si>
    <t>Saves</t>
  </si>
  <si>
    <t>CONTENIDO Y RENDIMIENTO</t>
  </si>
  <si>
    <t>Alcance y Visibilidad</t>
  </si>
  <si>
    <t>Publicaciones por semana</t>
  </si>
  <si>
    <t>Avg. Posts / Day (adaptable)</t>
  </si>
  <si>
    <t>Tipo de contenido</t>
  </si>
  <si>
    <t>Reels Count / Posts</t>
  </si>
  <si>
    <t>Posts</t>
  </si>
  <si>
    <t>Periodo (Semana)</t>
  </si>
  <si>
    <t>Contenido y Rendimiento</t>
  </si>
  <si>
    <t>Seguidores</t>
  </si>
  <si>
    <t>Tasa de crecimiento de seguidores</t>
  </si>
  <si>
    <t>Número total de interacciones</t>
  </si>
  <si>
    <t>Ratio de interacciones por publicación</t>
  </si>
  <si>
    <t>Número de "Me gusta"</t>
  </si>
  <si>
    <t>Evolución de seguidore</t>
  </si>
  <si>
    <t>Número de comentarios</t>
  </si>
  <si>
    <t>Formato del contenido</t>
  </si>
  <si>
    <t>Tasa de engagement</t>
  </si>
  <si>
    <t>Imagenes/carruseles</t>
  </si>
  <si>
    <t>Reels</t>
  </si>
  <si>
    <t>apeleteiro</t>
  </si>
  <si>
    <t>apeleteirob</t>
  </si>
  <si>
    <t>byhermoss</t>
  </si>
  <si>
    <t>diegogoal</t>
  </si>
  <si>
    <t>esperansagrasia</t>
  </si>
  <si>
    <t>itsmalbert</t>
  </si>
  <si>
    <t>diegodoal</t>
  </si>
  <si>
    <t>la_chica_bona</t>
  </si>
  <si>
    <t>lucia.durand</t>
  </si>
  <si>
    <t>esperansagrasia_</t>
  </si>
  <si>
    <t>nachter</t>
  </si>
  <si>
    <t>natjim</t>
  </si>
  <si>
    <t>vitoquiles10</t>
  </si>
  <si>
    <t>lucia.durandd</t>
  </si>
  <si>
    <t>nattjim</t>
  </si>
  <si>
    <t>vitoqiles7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</si>
</sst>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00%"/>
  </numFmts>
  <fonts count="11">
    <font>
      <sz val="10.0"/>
      <color rgb="FF000000"/>
      <name val="Arial"/>
      <scheme val="minor"/>
    </font>
    <font>
      <color rgb="FF000000"/>
      <name val="Arial"/>
      <scheme val="minor"/>
    </font>
    <font>
      <b/>
      <color rgb="FF000000"/>
      <name val="Arial"/>
      <scheme val="minor"/>
    </font>
    <font>
      <b/>
      <sz val="14.0"/>
      <color rgb="FFFFFFFF"/>
      <name val="Arial"/>
      <scheme val="minor"/>
    </font>
    <font>
      <color theme="1"/>
      <name val="Arial"/>
      <scheme val="minor"/>
    </font>
    <font>
      <b/>
      <sz val="12.0"/>
      <color rgb="FFFFFFFF"/>
      <name val="Arial"/>
      <scheme val="minor"/>
    </font>
    <font>
      <b/>
      <sz val="12.0"/>
      <color theme="0"/>
      <name val="Arial"/>
      <scheme val="minor"/>
    </font>
    <font>
      <b/>
      <color theme="0"/>
      <name val="Arial"/>
      <scheme val="minor"/>
    </font>
    <font>
      <b/>
      <color rgb="FFFFFFFF"/>
      <name val="Arial"/>
      <scheme val="minor"/>
    </font>
    <font>
      <color theme="1"/>
      <name val="Inter"/>
    </font>
    <font>
      <b/>
      <color rgb="FFFFFFFF"/>
      <name val="Arial"/>
    </font>
  </fonts>
  <fills count="12">
    <fill>
      <patternFill patternType="none"/>
    </fill>
    <fill>
      <patternFill patternType="lightGray"/>
    </fill>
    <fill>
      <patternFill patternType="solid">
        <fgColor rgb="FF674EA7"/>
        <bgColor rgb="FF674EA7"/>
      </patternFill>
    </fill>
    <fill>
      <patternFill patternType="solid">
        <fgColor rgb="FF85172B"/>
        <bgColor rgb="FF85172B"/>
      </patternFill>
    </fill>
    <fill>
      <patternFill patternType="solid">
        <fgColor rgb="FF666666"/>
        <bgColor rgb="FF666666"/>
      </patternFill>
    </fill>
    <fill>
      <patternFill patternType="solid">
        <fgColor rgb="FF9D646F"/>
        <bgColor rgb="FF9D646F"/>
      </patternFill>
    </fill>
    <fill>
      <patternFill patternType="solid">
        <fgColor rgb="FF8E7CC3"/>
        <bgColor rgb="FF8E7CC3"/>
      </patternFill>
    </fill>
    <fill>
      <patternFill patternType="solid">
        <fgColor rgb="FFCD9FA8"/>
        <bgColor rgb="FFCD9FA8"/>
      </patternFill>
    </fill>
    <fill>
      <patternFill patternType="solid">
        <fgColor rgb="FFB4A7D6"/>
        <bgColor rgb="FFB4A7D6"/>
      </patternFill>
    </fill>
    <fill>
      <patternFill patternType="solid">
        <fgColor rgb="FFD9D2E9"/>
        <bgColor rgb="FFD9D2E9"/>
      </patternFill>
    </fill>
    <fill>
      <patternFill patternType="solid">
        <fgColor rgb="FFB7B7B7"/>
        <bgColor rgb="FFB7B7B7"/>
      </patternFill>
    </fill>
    <fill>
      <patternFill patternType="solid">
        <fgColor rgb="FFCCCCCC"/>
        <bgColor rgb="FFCCCCCC"/>
      </patternFill>
    </fill>
  </fills>
  <borders count="1">
    <border/>
  </borders>
  <cellStyleXfs count="1">
    <xf borderId="0" fillId="0" fontId="0" numFmtId="0" applyAlignment="1" applyFont="1"/>
  </cellStyleXfs>
  <cellXfs count="4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2" numFmtId="0" xfId="0" applyAlignment="1" applyFont="1">
      <alignment horizontal="center" readingOrder="0"/>
    </xf>
    <xf borderId="0" fillId="2" fontId="3" numFmtId="0" xfId="0" applyAlignment="1" applyFill="1" applyFont="1">
      <alignment horizontal="center" readingOrder="0"/>
    </xf>
    <xf borderId="0" fillId="3" fontId="3" numFmtId="0" xfId="0" applyAlignment="1" applyFill="1" applyFont="1">
      <alignment horizontal="center" readingOrder="0"/>
    </xf>
    <xf borderId="0" fillId="0" fontId="4" numFmtId="164" xfId="0" applyFont="1" applyNumberFormat="1"/>
    <xf borderId="0" fillId="3" fontId="5" numFmtId="0" xfId="0" applyAlignment="1" applyFill="1" applyFont="1">
      <alignment horizontal="center" readingOrder="0"/>
    </xf>
    <xf borderId="0" fillId="4" fontId="3" numFmtId="0" xfId="0" applyAlignment="1" applyFill="1" applyFont="1">
      <alignment horizontal="center" readingOrder="0"/>
    </xf>
    <xf borderId="0" fillId="3" fontId="6" numFmtId="0" xfId="0" applyAlignment="1" applyFill="1" applyFont="1">
      <alignment horizontal="center" readingOrder="0"/>
    </xf>
    <xf borderId="0" fillId="0" fontId="4" numFmtId="1" xfId="0" applyFont="1" applyNumberFormat="1"/>
    <xf borderId="0" fillId="5" fontId="5" numFmtId="0" xfId="0" applyAlignment="1" applyFill="1" applyFont="1">
      <alignment horizontal="center" readingOrder="0"/>
    </xf>
    <xf borderId="0" fillId="6" fontId="5" numFmtId="0" xfId="0" applyAlignment="1" applyFill="1" applyFont="1">
      <alignment horizontal="center" readingOrder="0"/>
    </xf>
    <xf borderId="0" fillId="4" fontId="5" numFmtId="0" xfId="0" applyAlignment="1" applyFill="1" applyFont="1">
      <alignment horizontal="center" readingOrder="0"/>
    </xf>
    <xf borderId="0" fillId="7" fontId="5" numFmtId="0" xfId="0" applyAlignment="1" applyFill="1" applyFont="1">
      <alignment horizontal="center" readingOrder="0"/>
    </xf>
    <xf borderId="0" fillId="4" fontId="6" numFmtId="0" xfId="0" applyAlignment="1" applyFill="1" applyFont="1">
      <alignment horizontal="center" readingOrder="0"/>
    </xf>
    <xf borderId="0" fillId="8" fontId="5" numFmtId="0" xfId="0" applyAlignment="1" applyFill="1" applyFont="1">
      <alignment horizontal="center" readingOrder="0"/>
    </xf>
    <xf borderId="0" fillId="3" fontId="7" numFmtId="0" xfId="0" applyAlignment="1" applyFill="1" applyFont="1">
      <alignment horizontal="center" readingOrder="0"/>
    </xf>
    <xf borderId="0" fillId="9" fontId="5" numFmtId="164" xfId="0" applyAlignment="1" applyFill="1" applyFont="1" applyNumberFormat="1">
      <alignment horizontal="center" readingOrder="0"/>
    </xf>
    <xf borderId="0" fillId="10" fontId="5" numFmtId="0" xfId="0" applyAlignment="1" applyFill="1" applyFont="1">
      <alignment horizontal="center" readingOrder="0"/>
    </xf>
    <xf borderId="0" fillId="0" fontId="4" numFmtId="0" xfId="0" applyAlignment="1" applyFont="1">
      <alignment readingOrder="0"/>
    </xf>
    <xf borderId="0" fillId="6" fontId="7" numFmtId="0" xfId="0" applyAlignment="1" applyFill="1" applyFont="1">
      <alignment horizontal="center" readingOrder="0"/>
    </xf>
    <xf borderId="0" fillId="11" fontId="5" numFmtId="164" xfId="0" applyAlignment="1" applyFill="1" applyFont="1" applyNumberFormat="1">
      <alignment horizontal="center" readingOrder="0"/>
    </xf>
    <xf borderId="0" fillId="0" fontId="4" numFmtId="0" xfId="0" applyAlignment="1" applyFont="1">
      <alignment horizontal="center" readingOrder="0"/>
    </xf>
    <xf borderId="0" fillId="4" fontId="7" numFmtId="0" xfId="0" applyAlignment="1" applyFill="1" applyFont="1">
      <alignment horizontal="center" readingOrder="0"/>
    </xf>
    <xf borderId="0" fillId="0" fontId="4" numFmtId="164" xfId="0" applyAlignment="1" applyFont="1" applyNumberFormat="1">
      <alignment horizontal="center" readingOrder="0"/>
    </xf>
    <xf borderId="0" fillId="0" fontId="1" numFmtId="164" xfId="0" applyAlignment="1" applyFont="1" applyNumberFormat="1">
      <alignment horizontal="center" readingOrder="0"/>
    </xf>
    <xf borderId="0" fillId="0" fontId="1" numFmtId="0" xfId="0" applyAlignment="1" applyFont="1">
      <alignment horizontal="center" readingOrder="0"/>
    </xf>
    <xf borderId="0" fillId="0" fontId="4" numFmtId="1" xfId="0" applyAlignment="1" applyFont="1" applyNumberFormat="1">
      <alignment horizontal="center" readingOrder="0"/>
    </xf>
    <xf borderId="0" fillId="6" fontId="8" numFmtId="0" xfId="0" applyAlignment="1" applyFill="1" applyFont="1">
      <alignment horizontal="center" readingOrder="0"/>
    </xf>
    <xf borderId="0" fillId="4" fontId="8" numFmtId="0" xfId="0" applyAlignment="1" applyFill="1" applyFont="1">
      <alignment horizontal="center" readingOrder="0"/>
    </xf>
    <xf borderId="0" fillId="0" fontId="9" numFmtId="3" xfId="0" applyAlignment="1" applyFont="1" applyNumberFormat="1">
      <alignment readingOrder="0" shrinkToFit="0" wrapText="0"/>
    </xf>
    <xf borderId="0" fillId="0" fontId="9" numFmtId="164" xfId="0" applyAlignment="1" applyFont="1" applyNumberFormat="1">
      <alignment readingOrder="0" shrinkToFit="0" wrapText="0"/>
    </xf>
    <xf borderId="0" fillId="0" fontId="9" numFmtId="0" xfId="0" applyAlignment="1" applyFont="1">
      <alignment readingOrder="0" shrinkToFit="0" wrapText="0"/>
    </xf>
    <xf borderId="0" fillId="0" fontId="9" numFmtId="4" xfId="0" applyAlignment="1" applyFont="1" applyNumberFormat="1">
      <alignment readingOrder="0" shrinkToFit="0" wrapText="0"/>
    </xf>
    <xf borderId="0" fillId="0" fontId="9" numFmtId="1" xfId="0" applyAlignment="1" applyFont="1" applyNumberFormat="1">
      <alignment readingOrder="0" shrinkToFit="0" wrapText="0"/>
    </xf>
    <xf borderId="0" fillId="0" fontId="4" numFmtId="1" xfId="0" applyAlignment="1" applyFont="1" applyNumberFormat="1">
      <alignment readingOrder="0"/>
    </xf>
    <xf borderId="0" fillId="0" fontId="4" numFmtId="0" xfId="0" applyFont="1"/>
    <xf borderId="0" fillId="0" fontId="9" numFmtId="10" xfId="0" applyAlignment="1" applyFont="1" applyNumberFormat="1">
      <alignment readingOrder="0" shrinkToFit="0" wrapText="0"/>
    </xf>
    <xf borderId="0" fillId="0" fontId="9" numFmtId="0" xfId="0" applyAlignment="1" applyFont="1">
      <alignment shrinkToFit="0" wrapText="0"/>
    </xf>
    <xf borderId="0" fillId="0" fontId="9" numFmtId="1" xfId="0" applyAlignment="1" applyFont="1" applyNumberFormat="1">
      <alignment shrinkToFit="0" wrapText="0"/>
    </xf>
    <xf borderId="0" fillId="0" fontId="4" numFmtId="3" xfId="0" applyAlignment="1" applyFont="1" applyNumberFormat="1">
      <alignment readingOrder="0" shrinkToFit="0" wrapText="0"/>
    </xf>
    <xf borderId="0" fillId="0" fontId="4" numFmtId="164" xfId="0" applyAlignment="1" applyFont="1" applyNumberFormat="1">
      <alignment readingOrder="0" shrinkToFit="0" wrapText="0"/>
    </xf>
    <xf borderId="0" fillId="0" fontId="4" numFmtId="4" xfId="0" applyAlignment="1" applyFont="1" applyNumberFormat="1">
      <alignment readingOrder="0" shrinkToFit="0" wrapText="0"/>
    </xf>
    <xf borderId="0" fillId="0" fontId="4" numFmtId="1" xfId="0" applyAlignment="1" applyFont="1" applyNumberFormat="1">
      <alignment readingOrder="0" shrinkToFit="0" wrapText="0"/>
    </xf>
    <xf borderId="0" fillId="0" fontId="4" numFmtId="0" xfId="0" applyAlignment="1" applyFont="1">
      <alignment readingOrder="0" shrinkToFit="0" wrapText="0"/>
    </xf>
    <xf borderId="0" fillId="0" fontId="9" numFmtId="3" xfId="0" applyAlignment="1" applyFont="1" applyNumberFormat="1">
      <alignment horizontal="right" vertical="bottom"/>
    </xf>
    <xf borderId="0" fillId="4" fontId="10" numFmtId="0" xfId="0" applyAlignment="1" applyFill="1" applyFont="1">
      <alignment horizontal="center" vertical="bottom"/>
    </xf>
    <xf borderId="0" fillId="0" fontId="9" numFmtId="9" xfId="0" applyAlignment="1" applyFont="1" applyNumberForma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1.13"/>
    <col customWidth="1" min="2" max="2" width="31.75"/>
  </cols>
  <sheetData>
    <row r="1">
      <c r="A1" s="1" t="s">
        <v>0</v>
      </c>
    </row>
    <row r="2">
      <c r="A2" s="2"/>
    </row>
    <row r="3">
      <c r="A3" s="3" t="s">
        <v>1</v>
      </c>
      <c r="B3" s="3" t="s">
        <v>2</v>
      </c>
      <c r="C3" s="3" t="s">
        <v>3</v>
      </c>
    </row>
    <row r="4">
      <c r="A4" s="1" t="s">
        <v>4</v>
      </c>
      <c r="B4" s="1" t="s">
        <v>5</v>
      </c>
      <c r="C4" s="1" t="s">
        <v>6</v>
      </c>
    </row>
    <row r="5">
      <c r="A5" s="1" t="s">
        <v>8</v>
      </c>
      <c r="B5" s="1" t="s">
        <v>9</v>
      </c>
      <c r="C5" s="1" t="s">
        <v>10</v>
      </c>
    </row>
    <row r="6">
      <c r="A6" s="1" t="s">
        <v>12</v>
      </c>
      <c r="B6" s="1" t="s">
        <v>13</v>
      </c>
      <c r="C6" s="1" t="s">
        <v>13</v>
      </c>
    </row>
    <row r="7">
      <c r="A7" s="1" t="s">
        <v>14</v>
      </c>
      <c r="B7" s="1" t="s">
        <v>15</v>
      </c>
      <c r="C7" s="1" t="s">
        <v>15</v>
      </c>
    </row>
    <row r="9">
      <c r="A9" s="1" t="s">
        <v>16</v>
      </c>
    </row>
    <row r="10">
      <c r="A10" s="2"/>
    </row>
    <row r="11">
      <c r="A11" s="3" t="s">
        <v>1</v>
      </c>
      <c r="B11" s="3" t="s">
        <v>2</v>
      </c>
      <c r="C11" s="3" t="s">
        <v>3</v>
      </c>
    </row>
    <row r="12">
      <c r="A12" s="1" t="s">
        <v>17</v>
      </c>
      <c r="B12" s="1" t="s">
        <v>18</v>
      </c>
      <c r="C12" s="1" t="s">
        <v>18</v>
      </c>
    </row>
    <row r="13">
      <c r="A13" s="1" t="s">
        <v>19</v>
      </c>
      <c r="B13" s="1" t="s">
        <v>20</v>
      </c>
      <c r="C13" s="1" t="s">
        <v>20</v>
      </c>
    </row>
    <row r="14">
      <c r="A14" s="1" t="s">
        <v>22</v>
      </c>
      <c r="B14" s="1" t="s">
        <v>23</v>
      </c>
      <c r="C14" s="1" t="s">
        <v>23</v>
      </c>
    </row>
    <row r="15">
      <c r="A15" s="1" t="s">
        <v>24</v>
      </c>
      <c r="B15" s="1" t="s">
        <v>25</v>
      </c>
      <c r="C15" s="1" t="s">
        <v>25</v>
      </c>
    </row>
    <row r="16">
      <c r="A16" s="1" t="s">
        <v>27</v>
      </c>
      <c r="B16" s="1" t="s">
        <v>28</v>
      </c>
      <c r="C16" s="1" t="s">
        <v>28</v>
      </c>
    </row>
    <row r="17">
      <c r="A17" s="1" t="s">
        <v>29</v>
      </c>
      <c r="B17" s="1" t="s">
        <v>10</v>
      </c>
      <c r="C17" s="1" t="s">
        <v>30</v>
      </c>
    </row>
    <row r="18">
      <c r="A18" s="1" t="s">
        <v>31</v>
      </c>
      <c r="B18" s="1" t="s">
        <v>10</v>
      </c>
      <c r="C18" s="1" t="s">
        <v>33</v>
      </c>
    </row>
    <row r="20">
      <c r="A20" s="1" t="s">
        <v>34</v>
      </c>
    </row>
    <row r="21">
      <c r="A21" s="2"/>
    </row>
    <row r="22">
      <c r="A22" s="3" t="s">
        <v>1</v>
      </c>
      <c r="B22" s="3" t="s">
        <v>2</v>
      </c>
      <c r="C22" s="3" t="s">
        <v>3</v>
      </c>
    </row>
    <row r="23">
      <c r="A23" s="1" t="s">
        <v>36</v>
      </c>
      <c r="B23" s="1" t="s">
        <v>37</v>
      </c>
      <c r="C23" s="1" t="s">
        <v>37</v>
      </c>
    </row>
    <row r="24">
      <c r="A24" s="1" t="s">
        <v>38</v>
      </c>
      <c r="B24" s="1" t="s">
        <v>39</v>
      </c>
      <c r="C24" s="1" t="s">
        <v>40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0"/>
    <col customWidth="1" min="2" max="2" width="16.13"/>
    <col customWidth="1" min="3" max="3" width="13.75"/>
    <col customWidth="1" min="4" max="5" width="9.5"/>
    <col customWidth="1" min="6" max="6" width="19.13"/>
    <col customWidth="1" min="7" max="7" width="26.75"/>
    <col customWidth="1" min="8" max="8" width="28.0"/>
    <col customWidth="1" min="9" max="9" width="31.13"/>
    <col customWidth="1" min="10" max="10" width="23.13"/>
    <col customWidth="1" min="11" max="11" width="29.13"/>
    <col customWidth="1" min="12" max="12" width="22.63"/>
    <col customWidth="1" min="13" max="13" width="28.38"/>
    <col customWidth="1" min="14" max="15" width="18.75"/>
    <col customWidth="1" min="16" max="16" width="18.13"/>
    <col customWidth="1" min="17" max="17" width="20.5"/>
  </cols>
  <sheetData>
    <row r="1">
      <c r="A1" s="5" t="s">
        <v>11</v>
      </c>
    </row>
    <row r="3">
      <c r="A3" s="7" t="s">
        <v>26</v>
      </c>
      <c r="B3" s="9" t="s">
        <v>32</v>
      </c>
      <c r="C3" s="11" t="s">
        <v>35</v>
      </c>
      <c r="H3" s="14" t="s">
        <v>18</v>
      </c>
      <c r="P3" s="11" t="s">
        <v>42</v>
      </c>
    </row>
    <row r="4">
      <c r="A4" s="17"/>
      <c r="B4" s="17"/>
      <c r="C4" s="20" t="s">
        <v>4</v>
      </c>
      <c r="D4" s="20" t="s">
        <v>8</v>
      </c>
      <c r="E4" s="20" t="s">
        <v>43</v>
      </c>
      <c r="F4" s="20" t="s">
        <v>12</v>
      </c>
      <c r="G4" s="20" t="s">
        <v>44</v>
      </c>
      <c r="H4" s="1" t="s">
        <v>19</v>
      </c>
      <c r="I4" s="1" t="s">
        <v>22</v>
      </c>
      <c r="J4" s="20" t="s">
        <v>45</v>
      </c>
      <c r="K4" s="20" t="s">
        <v>46</v>
      </c>
      <c r="L4" s="23" t="s">
        <v>47</v>
      </c>
      <c r="M4" s="23" t="s">
        <v>49</v>
      </c>
      <c r="N4" s="20" t="s">
        <v>29</v>
      </c>
      <c r="O4" s="1" t="s">
        <v>31</v>
      </c>
      <c r="P4" s="20" t="s">
        <v>50</v>
      </c>
      <c r="Q4" s="20" t="s">
        <v>36</v>
      </c>
    </row>
  </sheetData>
  <mergeCells count="4">
    <mergeCell ref="A1:Q1"/>
    <mergeCell ref="C3:G3"/>
    <mergeCell ref="H3:O3"/>
    <mergeCell ref="P3:Q3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18.0"/>
    <col customWidth="1" min="2" max="2" width="19.38"/>
    <col customWidth="1" min="3" max="3" width="13.75"/>
    <col customWidth="1" min="4" max="5" width="9.5"/>
    <col customWidth="1" min="6" max="6" width="24.13"/>
    <col customWidth="1" min="7" max="7" width="26.75"/>
    <col customWidth="1" min="8" max="8" width="28.0"/>
    <col customWidth="1" min="9" max="10" width="31.13"/>
    <col customWidth="1" min="11" max="11" width="23.13"/>
    <col customWidth="1" min="12" max="12" width="29.13"/>
    <col customWidth="1" min="13" max="13" width="22.63"/>
    <col customWidth="1" min="14" max="14" width="28.38"/>
    <col customWidth="1" min="15" max="16" width="18.13"/>
    <col customWidth="1" min="17" max="17" width="20.5"/>
  </cols>
  <sheetData>
    <row r="1">
      <c r="A1" s="4" t="s">
        <v>7</v>
      </c>
    </row>
    <row r="2">
      <c r="G2" s="6"/>
      <c r="H2" s="6"/>
      <c r="I2" s="6"/>
      <c r="J2" s="6"/>
      <c r="O2" s="10"/>
      <c r="P2" s="10"/>
      <c r="Q2" s="10"/>
    </row>
    <row r="3">
      <c r="A3" s="12" t="s">
        <v>26</v>
      </c>
      <c r="B3" s="12" t="s">
        <v>41</v>
      </c>
      <c r="C3" s="16" t="s">
        <v>35</v>
      </c>
      <c r="H3" s="18" t="s">
        <v>18</v>
      </c>
      <c r="O3" s="16" t="s">
        <v>42</v>
      </c>
    </row>
    <row r="4">
      <c r="A4" s="21"/>
      <c r="B4" s="21"/>
      <c r="C4" s="23" t="s">
        <v>4</v>
      </c>
      <c r="D4" s="23" t="s">
        <v>8</v>
      </c>
      <c r="E4" s="23" t="s">
        <v>43</v>
      </c>
      <c r="F4" s="23" t="s">
        <v>48</v>
      </c>
      <c r="G4" s="25" t="s">
        <v>44</v>
      </c>
      <c r="H4" s="26" t="s">
        <v>19</v>
      </c>
      <c r="I4" s="26" t="s">
        <v>22</v>
      </c>
      <c r="J4" s="27" t="s">
        <v>51</v>
      </c>
      <c r="K4" s="23" t="s">
        <v>45</v>
      </c>
      <c r="L4" s="20" t="s">
        <v>46</v>
      </c>
      <c r="M4" s="23" t="s">
        <v>47</v>
      </c>
      <c r="N4" s="23" t="s">
        <v>49</v>
      </c>
      <c r="O4" s="28" t="s">
        <v>52</v>
      </c>
      <c r="P4" s="28" t="s">
        <v>53</v>
      </c>
      <c r="Q4" s="28" t="s">
        <v>36</v>
      </c>
    </row>
    <row r="5">
      <c r="A5" s="29" t="s">
        <v>54</v>
      </c>
      <c r="B5" s="29">
        <v>20.0</v>
      </c>
      <c r="C5" s="31">
        <v>560664.0</v>
      </c>
      <c r="D5" s="31">
        <v>349294.0</v>
      </c>
      <c r="E5" s="31">
        <v>546328.0</v>
      </c>
      <c r="F5" s="31">
        <v>2673.0</v>
      </c>
      <c r="G5" s="32">
        <v>0.0048926652121070125</v>
      </c>
      <c r="H5" s="32">
        <v>0.00956</v>
      </c>
      <c r="I5" s="32">
        <v>0.01903</v>
      </c>
      <c r="J5" s="32">
        <f t="shared" ref="J5:J103" si="1">K5/D5</f>
        <v>0.02990603904</v>
      </c>
      <c r="K5" s="31">
        <v>10446.0</v>
      </c>
      <c r="L5" s="31">
        <v>5223.0</v>
      </c>
      <c r="M5" s="31">
        <v>10353.0</v>
      </c>
      <c r="N5" s="31">
        <v>93.0</v>
      </c>
      <c r="O5" s="10">
        <v>0.0</v>
      </c>
      <c r="P5" s="35">
        <v>2.0</v>
      </c>
      <c r="Q5" s="35">
        <v>2.0</v>
      </c>
      <c r="R5" s="31"/>
      <c r="S5" s="31"/>
      <c r="T5" s="34"/>
      <c r="U5" s="33"/>
      <c r="V5" s="33"/>
      <c r="W5" s="31"/>
      <c r="X5" s="31"/>
      <c r="Y5" s="33"/>
      <c r="Z5" s="33"/>
      <c r="AA5" s="31"/>
    </row>
    <row r="6">
      <c r="A6" s="29" t="s">
        <v>56</v>
      </c>
      <c r="B6" s="29">
        <v>20.0</v>
      </c>
      <c r="C6" s="31">
        <v>5346676.0</v>
      </c>
      <c r="D6" s="31">
        <v>4483080.0</v>
      </c>
      <c r="E6" s="31">
        <v>784846.0</v>
      </c>
      <c r="F6" s="31">
        <v>2295.0</v>
      </c>
      <c r="G6" s="32">
        <v>0.002924140532027939</v>
      </c>
      <c r="H6" s="32">
        <v>0.0206</v>
      </c>
      <c r="I6" s="32">
        <v>0.02636</v>
      </c>
      <c r="J6" s="32">
        <f t="shared" si="1"/>
        <v>0.02164159462</v>
      </c>
      <c r="K6" s="31">
        <v>97021.0</v>
      </c>
      <c r="L6" s="34">
        <v>16170.167</v>
      </c>
      <c r="M6" s="31">
        <v>96869.0</v>
      </c>
      <c r="N6" s="31">
        <v>152.0</v>
      </c>
      <c r="O6" s="10">
        <v>2.0</v>
      </c>
      <c r="P6" s="35">
        <v>4.0</v>
      </c>
      <c r="Q6" s="35">
        <v>6.0</v>
      </c>
      <c r="R6" s="34"/>
      <c r="S6" s="31"/>
      <c r="T6" s="31"/>
      <c r="U6" s="34"/>
      <c r="V6" s="33"/>
      <c r="W6" s="33"/>
      <c r="X6" s="31"/>
      <c r="Y6" s="34"/>
      <c r="Z6" s="33"/>
      <c r="AA6" s="33"/>
      <c r="AB6" s="31"/>
    </row>
    <row r="7">
      <c r="A7" s="29" t="s">
        <v>60</v>
      </c>
      <c r="B7" s="29">
        <v>20.0</v>
      </c>
      <c r="C7" s="31">
        <v>1658604.0</v>
      </c>
      <c r="D7" s="31">
        <v>1033310.0</v>
      </c>
      <c r="E7" s="31">
        <v>621203.0</v>
      </c>
      <c r="F7" s="31">
        <v>342.0</v>
      </c>
      <c r="G7" s="32">
        <v>5.505446689729445E-4</v>
      </c>
      <c r="H7" s="32">
        <v>0.02957</v>
      </c>
      <c r="I7" s="32">
        <v>0.03495</v>
      </c>
      <c r="J7" s="32">
        <f t="shared" si="1"/>
        <v>0.05327152549</v>
      </c>
      <c r="K7" s="31">
        <v>55046.0</v>
      </c>
      <c r="L7" s="34">
        <v>18348.667</v>
      </c>
      <c r="M7" s="31">
        <v>54731.0</v>
      </c>
      <c r="N7" s="31">
        <v>315.0</v>
      </c>
      <c r="O7" s="10">
        <v>0.0</v>
      </c>
      <c r="P7" s="35">
        <v>3.0</v>
      </c>
      <c r="Q7" s="35">
        <v>3.0</v>
      </c>
      <c r="R7" s="34"/>
      <c r="S7" s="31"/>
      <c r="T7" s="31"/>
      <c r="U7" s="34"/>
      <c r="V7" s="33"/>
      <c r="W7" s="33"/>
      <c r="X7" s="31"/>
      <c r="Y7" s="31"/>
      <c r="Z7" s="33"/>
      <c r="AA7" s="33"/>
      <c r="AB7" s="31"/>
    </row>
    <row r="8">
      <c r="A8" s="29" t="s">
        <v>63</v>
      </c>
      <c r="B8" s="29">
        <v>20.0</v>
      </c>
      <c r="C8" s="31">
        <v>2189093.0</v>
      </c>
      <c r="D8" s="31">
        <v>1363805.0</v>
      </c>
      <c r="E8" s="31">
        <v>1299959.0</v>
      </c>
      <c r="F8" s="31">
        <v>6363.0</v>
      </c>
      <c r="G8" s="32">
        <v>0.004894769758123141</v>
      </c>
      <c r="H8" s="32">
        <v>0.06006</v>
      </c>
      <c r="I8" s="32">
        <v>0.06901</v>
      </c>
      <c r="J8" s="32">
        <f t="shared" si="1"/>
        <v>0.1145053728</v>
      </c>
      <c r="K8" s="31">
        <v>156163.0</v>
      </c>
      <c r="L8" s="34">
        <v>78081.5</v>
      </c>
      <c r="M8" s="31">
        <v>153941.0</v>
      </c>
      <c r="N8" s="31">
        <v>2222.0</v>
      </c>
      <c r="O8" s="10">
        <v>0.0</v>
      </c>
      <c r="P8" s="35">
        <v>2.0</v>
      </c>
      <c r="Q8" s="35">
        <v>2.0</v>
      </c>
      <c r="R8" s="34"/>
      <c r="S8" s="31"/>
      <c r="T8" s="31"/>
      <c r="U8" s="31"/>
      <c r="V8" s="33"/>
      <c r="W8" s="31"/>
      <c r="X8" s="31"/>
      <c r="Y8" s="34"/>
      <c r="Z8" s="33"/>
      <c r="AA8" s="33"/>
      <c r="AB8" s="31"/>
    </row>
    <row r="9">
      <c r="A9" s="29" t="s">
        <v>59</v>
      </c>
      <c r="B9" s="29">
        <v>20.0</v>
      </c>
      <c r="C9" s="31">
        <v>555516.0</v>
      </c>
      <c r="D9" s="31">
        <v>346086.0</v>
      </c>
      <c r="E9" s="31">
        <v>451146.0</v>
      </c>
      <c r="F9" s="31">
        <v>1324.0</v>
      </c>
      <c r="G9" s="32">
        <v>0.0029347483963062956</v>
      </c>
      <c r="H9" s="32">
        <v>0.0053</v>
      </c>
      <c r="I9" s="32">
        <v>0.02483</v>
      </c>
      <c r="J9" s="32">
        <f t="shared" si="1"/>
        <v>0.02072317285</v>
      </c>
      <c r="K9" s="31">
        <v>7172.0</v>
      </c>
      <c r="L9" s="34">
        <v>2390.667</v>
      </c>
      <c r="M9" s="31">
        <v>6830.0</v>
      </c>
      <c r="N9" s="31">
        <v>342.0</v>
      </c>
      <c r="O9" s="10">
        <v>0.0</v>
      </c>
      <c r="P9" s="35">
        <v>3.0</v>
      </c>
      <c r="Q9" s="35">
        <v>3.0</v>
      </c>
      <c r="R9" s="34"/>
      <c r="S9" s="31"/>
      <c r="T9" s="31"/>
      <c r="U9" s="34"/>
      <c r="V9" s="33"/>
      <c r="W9" s="33"/>
      <c r="X9" s="31"/>
      <c r="Y9" s="31"/>
      <c r="Z9" s="33"/>
      <c r="AA9" s="33"/>
      <c r="AB9" s="31"/>
    </row>
    <row r="10">
      <c r="A10" s="29" t="s">
        <v>61</v>
      </c>
      <c r="B10" s="29">
        <v>20.0</v>
      </c>
      <c r="C10" s="31">
        <v>2.3765929E7</v>
      </c>
      <c r="D10" s="31">
        <v>1.4806174E7</v>
      </c>
      <c r="E10" s="31">
        <v>1314682.0</v>
      </c>
      <c r="F10" s="31">
        <v>3849.0</v>
      </c>
      <c r="G10" s="32">
        <v>0.002927704190062692</v>
      </c>
      <c r="H10" s="32">
        <v>0.27531</v>
      </c>
      <c r="I10" s="32">
        <v>0.0462</v>
      </c>
      <c r="J10" s="32">
        <f t="shared" si="1"/>
        <v>0.1222292808</v>
      </c>
      <c r="K10" s="31">
        <v>1809748.0</v>
      </c>
      <c r="L10" s="34">
        <v>361949.6</v>
      </c>
      <c r="M10" s="31">
        <v>1784223.0</v>
      </c>
      <c r="N10" s="31">
        <v>25525.0</v>
      </c>
      <c r="O10" s="10">
        <v>0.0</v>
      </c>
      <c r="P10" s="35">
        <v>5.0</v>
      </c>
      <c r="Q10" s="35">
        <v>5.0</v>
      </c>
      <c r="R10" s="34"/>
      <c r="S10" s="31"/>
      <c r="T10" s="31"/>
      <c r="U10" s="34"/>
      <c r="V10" s="33"/>
      <c r="W10" s="31"/>
      <c r="X10" s="31"/>
      <c r="Y10" s="34"/>
      <c r="Z10" s="33"/>
      <c r="AA10" s="33"/>
      <c r="AB10" s="31"/>
    </row>
    <row r="11">
      <c r="A11" s="29" t="s">
        <v>67</v>
      </c>
      <c r="B11" s="29">
        <v>20.0</v>
      </c>
      <c r="C11" s="31">
        <v>2440077.0</v>
      </c>
      <c r="D11" s="31">
        <v>1520167.0</v>
      </c>
      <c r="E11" s="31">
        <v>365270.0</v>
      </c>
      <c r="F11" s="31">
        <v>1069.0</v>
      </c>
      <c r="G11" s="32">
        <v>0.002926602239439319</v>
      </c>
      <c r="H11" s="32">
        <v>0.07309</v>
      </c>
      <c r="I11" s="32">
        <v>0.05032</v>
      </c>
      <c r="J11" s="32">
        <f t="shared" si="1"/>
        <v>0.07024622953</v>
      </c>
      <c r="K11" s="31">
        <v>106786.0</v>
      </c>
      <c r="L11" s="34">
        <v>26696.5</v>
      </c>
      <c r="M11" s="31">
        <v>106398.0</v>
      </c>
      <c r="N11" s="31">
        <v>388.0</v>
      </c>
      <c r="O11" s="10">
        <v>0.0</v>
      </c>
      <c r="P11" s="35">
        <v>4.0</v>
      </c>
      <c r="Q11" s="35">
        <v>4.0</v>
      </c>
      <c r="R11" s="34"/>
      <c r="S11" s="31"/>
      <c r="T11" s="31"/>
      <c r="U11" s="34"/>
      <c r="V11" s="33"/>
      <c r="W11" s="33"/>
      <c r="X11" s="31"/>
      <c r="Y11" s="34"/>
      <c r="Z11" s="33"/>
      <c r="AA11" s="33"/>
      <c r="AB11" s="31"/>
    </row>
    <row r="12">
      <c r="A12" s="29" t="s">
        <v>64</v>
      </c>
      <c r="B12" s="29">
        <v>20.0</v>
      </c>
      <c r="C12" s="31">
        <v>1.7708254E7</v>
      </c>
      <c r="D12" s="31">
        <v>1.1032243E7</v>
      </c>
      <c r="E12" s="31">
        <v>5431796.0</v>
      </c>
      <c r="F12" s="31">
        <v>15873.0</v>
      </c>
      <c r="G12" s="32">
        <v>0.0029222378749128282</v>
      </c>
      <c r="H12" s="32">
        <v>0.01218</v>
      </c>
      <c r="I12" s="32">
        <v>0.02533</v>
      </c>
      <c r="J12" s="32">
        <f t="shared" si="1"/>
        <v>0.0419742386</v>
      </c>
      <c r="K12" s="31">
        <v>463070.0</v>
      </c>
      <c r="L12" s="34">
        <v>66152.857</v>
      </c>
      <c r="M12" s="31">
        <v>453366.0</v>
      </c>
      <c r="N12" s="31">
        <v>9704.0</v>
      </c>
      <c r="O12" s="10">
        <v>0.0</v>
      </c>
      <c r="P12" s="35">
        <v>7.0</v>
      </c>
      <c r="Q12" s="35">
        <v>7.0</v>
      </c>
      <c r="R12" s="34"/>
      <c r="S12" s="31"/>
      <c r="T12" s="31"/>
      <c r="U12" s="34"/>
      <c r="V12" s="33"/>
      <c r="W12" s="31"/>
      <c r="X12" s="31"/>
      <c r="Y12" s="34"/>
      <c r="Z12" s="33"/>
      <c r="AA12" s="33"/>
      <c r="AB12" s="31"/>
    </row>
    <row r="13">
      <c r="A13" s="29" t="s">
        <v>68</v>
      </c>
      <c r="B13" s="29">
        <v>20.0</v>
      </c>
      <c r="C13" s="31">
        <v>459487.0</v>
      </c>
      <c r="D13" s="31">
        <v>286260.0</v>
      </c>
      <c r="E13" s="31">
        <v>641143.0</v>
      </c>
      <c r="F13" s="31">
        <v>1872.0</v>
      </c>
      <c r="G13" s="32">
        <v>0.0029197854456806047</v>
      </c>
      <c r="H13" s="32">
        <v>0.01275</v>
      </c>
      <c r="I13" s="32">
        <v>0.01779</v>
      </c>
      <c r="J13" s="32">
        <f t="shared" si="1"/>
        <v>0.02855096765</v>
      </c>
      <c r="K13" s="31">
        <v>8173.0</v>
      </c>
      <c r="L13" s="31">
        <v>8173.0</v>
      </c>
      <c r="M13" s="31">
        <v>8066.0</v>
      </c>
      <c r="N13" s="31">
        <v>107.0</v>
      </c>
      <c r="O13" s="10">
        <v>0.0</v>
      </c>
      <c r="P13" s="35">
        <v>1.0</v>
      </c>
      <c r="Q13" s="35">
        <v>1.0</v>
      </c>
      <c r="R13" s="31"/>
      <c r="S13" s="31"/>
      <c r="T13" s="31"/>
      <c r="U13" s="34"/>
      <c r="V13" s="33"/>
      <c r="W13" s="33"/>
      <c r="X13" s="31"/>
      <c r="Y13" s="31"/>
      <c r="Z13" s="33"/>
      <c r="AA13" s="33"/>
      <c r="AB13" s="31"/>
    </row>
    <row r="14">
      <c r="A14" s="29" t="s">
        <v>69</v>
      </c>
      <c r="B14" s="29">
        <v>20.0</v>
      </c>
      <c r="C14" s="31">
        <v>2094152.0</v>
      </c>
      <c r="D14" s="31">
        <v>1304657.0</v>
      </c>
      <c r="E14" s="31">
        <v>1447690.0</v>
      </c>
      <c r="F14" s="31">
        <v>4226.0</v>
      </c>
      <c r="G14" s="32">
        <v>0.002919133239851073</v>
      </c>
      <c r="H14" s="32">
        <v>0.10421</v>
      </c>
      <c r="I14" s="32">
        <v>0.07204</v>
      </c>
      <c r="J14" s="32">
        <f t="shared" si="1"/>
        <v>0.1156372901</v>
      </c>
      <c r="K14" s="31">
        <v>150867.0</v>
      </c>
      <c r="L14" s="31">
        <v>150867.0</v>
      </c>
      <c r="M14" s="31">
        <v>143602.0</v>
      </c>
      <c r="N14" s="31">
        <v>7265.0</v>
      </c>
      <c r="O14" s="10">
        <v>0.0</v>
      </c>
      <c r="P14" s="35">
        <v>1.0</v>
      </c>
      <c r="Q14" s="35">
        <v>1.0</v>
      </c>
      <c r="R14" s="31"/>
      <c r="S14" s="31"/>
      <c r="T14" s="31"/>
      <c r="U14" s="34"/>
      <c r="V14" s="33"/>
      <c r="W14" s="31"/>
      <c r="X14" s="31"/>
      <c r="Y14" s="31"/>
      <c r="Z14" s="33"/>
      <c r="AA14" s="33"/>
      <c r="AB14" s="31"/>
    </row>
    <row r="15">
      <c r="A15" s="29" t="s">
        <v>54</v>
      </c>
      <c r="B15" s="29">
        <v>21.0</v>
      </c>
      <c r="C15" s="31">
        <v>2979220.0</v>
      </c>
      <c r="D15" s="31">
        <v>3812226.0</v>
      </c>
      <c r="E15" s="31">
        <v>549451.0</v>
      </c>
      <c r="F15" s="31">
        <v>3123.0</v>
      </c>
      <c r="G15" s="32">
        <v>0.005683855339238622</v>
      </c>
      <c r="H15" s="32">
        <v>0.01916</v>
      </c>
      <c r="I15" s="32">
        <v>0.01228</v>
      </c>
      <c r="J15" s="32">
        <f t="shared" si="1"/>
        <v>0.01104577745</v>
      </c>
      <c r="K15" s="34">
        <v>42109.0</v>
      </c>
      <c r="L15" s="31">
        <v>10527.25</v>
      </c>
      <c r="M15" s="31">
        <v>41829.0</v>
      </c>
      <c r="N15" s="33">
        <v>280.0</v>
      </c>
      <c r="O15" s="36">
        <v>2.0</v>
      </c>
      <c r="P15" s="35">
        <v>2.0</v>
      </c>
      <c r="Q15" s="35">
        <v>4.0</v>
      </c>
    </row>
    <row r="16">
      <c r="A16" s="29" t="s">
        <v>56</v>
      </c>
      <c r="B16" s="29">
        <v>21.0</v>
      </c>
      <c r="C16" s="31">
        <v>873892.0</v>
      </c>
      <c r="D16" s="31">
        <v>1402716.0</v>
      </c>
      <c r="E16" s="31">
        <v>787519.0</v>
      </c>
      <c r="F16" s="31">
        <v>2673.0</v>
      </c>
      <c r="G16" s="32">
        <v>0.003394203822383968</v>
      </c>
      <c r="H16" s="32">
        <v>0.0081</v>
      </c>
      <c r="I16" s="32">
        <v>0.01709</v>
      </c>
      <c r="J16" s="32">
        <f t="shared" si="1"/>
        <v>0.009095212431</v>
      </c>
      <c r="K16" s="34">
        <v>12758.0</v>
      </c>
      <c r="L16" s="34">
        <v>6379.0</v>
      </c>
      <c r="M16" s="31">
        <v>12722.0</v>
      </c>
      <c r="N16" s="33">
        <v>36.0</v>
      </c>
      <c r="O16" s="36">
        <v>0.0</v>
      </c>
      <c r="P16" s="35">
        <v>2.0</v>
      </c>
      <c r="Q16" s="35">
        <v>2.0</v>
      </c>
    </row>
    <row r="17">
      <c r="A17" s="29" t="s">
        <v>60</v>
      </c>
      <c r="B17" s="29">
        <v>21.0</v>
      </c>
      <c r="C17" s="31">
        <v>848745.0</v>
      </c>
      <c r="D17" s="31">
        <v>1362350.0</v>
      </c>
      <c r="E17" s="31">
        <v>621267.0</v>
      </c>
      <c r="F17" s="31">
        <v>64.0</v>
      </c>
      <c r="G17" s="32">
        <v>1.0301528972245428E-4</v>
      </c>
      <c r="H17" s="32">
        <v>0.05079</v>
      </c>
      <c r="I17" s="32">
        <v>0.04632</v>
      </c>
      <c r="J17" s="32">
        <f t="shared" si="1"/>
        <v>0.04627298418</v>
      </c>
      <c r="K17" s="34">
        <v>63040.0</v>
      </c>
      <c r="L17" s="34">
        <v>31520.0</v>
      </c>
      <c r="M17" s="31">
        <v>62799.0</v>
      </c>
      <c r="N17" s="33">
        <v>241.0</v>
      </c>
      <c r="O17" s="36">
        <v>0.0</v>
      </c>
      <c r="P17" s="35">
        <v>2.0</v>
      </c>
      <c r="Q17" s="35">
        <v>2.0</v>
      </c>
    </row>
    <row r="18">
      <c r="A18" s="29" t="s">
        <v>63</v>
      </c>
      <c r="B18" s="29">
        <v>21.0</v>
      </c>
      <c r="C18" s="31">
        <v>372672.0</v>
      </c>
      <c r="D18" s="31">
        <v>598190.0</v>
      </c>
      <c r="E18" s="31">
        <v>1307376.0</v>
      </c>
      <c r="F18" s="31">
        <v>7417.0</v>
      </c>
      <c r="G18" s="32">
        <v>0.005673195775354603</v>
      </c>
      <c r="H18" s="32">
        <v>0.03191</v>
      </c>
      <c r="I18" s="32">
        <v>0.06974</v>
      </c>
      <c r="J18" s="32">
        <f t="shared" si="1"/>
        <v>0.0697420552</v>
      </c>
      <c r="K18" s="34">
        <v>41719.0</v>
      </c>
      <c r="L18" s="31">
        <v>41719.0</v>
      </c>
      <c r="M18" s="31">
        <v>40863.0</v>
      </c>
      <c r="N18" s="31">
        <v>856.0</v>
      </c>
      <c r="O18" s="36">
        <v>0.0</v>
      </c>
      <c r="P18" s="35">
        <v>1.0</v>
      </c>
      <c r="Q18" s="35">
        <v>1.0</v>
      </c>
    </row>
    <row r="19">
      <c r="A19" s="29" t="s">
        <v>59</v>
      </c>
      <c r="B19" s="29">
        <v>21.0</v>
      </c>
      <c r="C19" s="31">
        <v>538266.0</v>
      </c>
      <c r="D19" s="31">
        <v>863992.0</v>
      </c>
      <c r="E19" s="31">
        <v>452686.0</v>
      </c>
      <c r="F19" s="31">
        <v>1540.0</v>
      </c>
      <c r="G19" s="32">
        <v>0.003401916560264731</v>
      </c>
      <c r="H19" s="32">
        <v>0.00552</v>
      </c>
      <c r="I19" s="32">
        <v>0.0251</v>
      </c>
      <c r="J19" s="32">
        <f t="shared" si="1"/>
        <v>0.008673691423</v>
      </c>
      <c r="K19" s="31">
        <v>7494.0</v>
      </c>
      <c r="L19" s="31">
        <v>2498.0</v>
      </c>
      <c r="M19" s="31">
        <v>7207.0</v>
      </c>
      <c r="N19" s="33">
        <v>287.0</v>
      </c>
      <c r="O19" s="36">
        <v>0.0</v>
      </c>
      <c r="P19" s="35">
        <v>3.0</v>
      </c>
      <c r="Q19" s="35">
        <v>3.0</v>
      </c>
    </row>
    <row r="20">
      <c r="A20" s="29" t="s">
        <v>61</v>
      </c>
      <c r="B20" s="29">
        <v>21.0</v>
      </c>
      <c r="C20" s="31">
        <v>811858.0</v>
      </c>
      <c r="D20" s="31">
        <v>1303143.0</v>
      </c>
      <c r="E20" s="31">
        <v>1319161.0</v>
      </c>
      <c r="F20" s="31">
        <v>4479.0</v>
      </c>
      <c r="G20" s="32">
        <v>0.003395339916810761</v>
      </c>
      <c r="H20" s="32">
        <v>0.0279</v>
      </c>
      <c r="I20" s="32">
        <v>0.04932</v>
      </c>
      <c r="J20" s="32">
        <f t="shared" si="1"/>
        <v>0.05647960354</v>
      </c>
      <c r="K20" s="31">
        <v>73601.0</v>
      </c>
      <c r="L20" s="34">
        <v>36800.5</v>
      </c>
      <c r="M20" s="31">
        <v>72764.0</v>
      </c>
      <c r="N20" s="31">
        <v>837.0</v>
      </c>
      <c r="O20" s="36">
        <v>0.0</v>
      </c>
      <c r="P20" s="35">
        <v>2.0</v>
      </c>
      <c r="Q20" s="35">
        <v>2.0</v>
      </c>
    </row>
    <row r="21">
      <c r="A21" s="29" t="s">
        <v>67</v>
      </c>
      <c r="B21" s="29">
        <v>21.0</v>
      </c>
      <c r="C21" s="31">
        <v>3860322.0</v>
      </c>
      <c r="D21" s="31">
        <v>6196343.0</v>
      </c>
      <c r="E21" s="31">
        <v>366514.0</v>
      </c>
      <c r="F21" s="31">
        <v>1244.0</v>
      </c>
      <c r="G21" s="32">
        <v>0.003394140469395439</v>
      </c>
      <c r="H21" s="32">
        <v>0.02268</v>
      </c>
      <c r="I21" s="32">
        <v>0.01191</v>
      </c>
      <c r="J21" s="32">
        <f t="shared" si="1"/>
        <v>0.006706697805</v>
      </c>
      <c r="K21" s="31">
        <v>41557.0</v>
      </c>
      <c r="L21" s="34">
        <v>8311.4</v>
      </c>
      <c r="M21" s="31">
        <v>41266.0</v>
      </c>
      <c r="N21" s="33">
        <v>291.0</v>
      </c>
      <c r="O21" s="36">
        <v>0.0</v>
      </c>
      <c r="P21" s="35">
        <v>5.0</v>
      </c>
      <c r="Q21" s="35">
        <v>5.0</v>
      </c>
    </row>
    <row r="22">
      <c r="A22" s="29" t="s">
        <v>64</v>
      </c>
      <c r="B22" s="29">
        <v>21.0</v>
      </c>
      <c r="C22" s="31">
        <v>9982076.0</v>
      </c>
      <c r="D22" s="31">
        <v>1.6022592E7</v>
      </c>
      <c r="E22" s="31">
        <v>5450323.0</v>
      </c>
      <c r="F22" s="31">
        <v>18527.0</v>
      </c>
      <c r="G22" s="32">
        <v>0.003399248081260505</v>
      </c>
      <c r="H22" s="32">
        <v>0.01563</v>
      </c>
      <c r="I22" s="32">
        <v>0.0315</v>
      </c>
      <c r="J22" s="32">
        <f t="shared" si="1"/>
        <v>0.03720733824</v>
      </c>
      <c r="K22" s="31">
        <v>596158.0</v>
      </c>
      <c r="L22" s="34">
        <v>85165.429</v>
      </c>
      <c r="M22" s="31">
        <v>587112.0</v>
      </c>
      <c r="N22" s="31">
        <v>9046.0</v>
      </c>
      <c r="O22" s="36">
        <v>0.0</v>
      </c>
      <c r="P22" s="35">
        <v>7.0</v>
      </c>
      <c r="Q22" s="35">
        <v>7.0</v>
      </c>
    </row>
    <row r="23">
      <c r="A23" s="29" t="s">
        <v>68</v>
      </c>
      <c r="B23" s="29">
        <v>21.0</v>
      </c>
      <c r="C23" s="31">
        <v>368852.0</v>
      </c>
      <c r="D23" s="31">
        <v>592057.0</v>
      </c>
      <c r="E23" s="31">
        <v>643329.0</v>
      </c>
      <c r="F23" s="31">
        <v>2186.0</v>
      </c>
      <c r="G23" s="32">
        <v>0.0033979503488883603</v>
      </c>
      <c r="H23" s="32">
        <v>0.01408</v>
      </c>
      <c r="I23" s="32">
        <v>0.0267</v>
      </c>
      <c r="J23" s="32">
        <f t="shared" si="1"/>
        <v>0.03059333814</v>
      </c>
      <c r="K23" s="31">
        <v>18113.0</v>
      </c>
      <c r="L23" s="31">
        <v>9056.5</v>
      </c>
      <c r="M23" s="31">
        <v>17396.0</v>
      </c>
      <c r="N23" s="33">
        <v>717.0</v>
      </c>
      <c r="O23" s="36">
        <v>0.0</v>
      </c>
      <c r="P23" s="35">
        <v>2.0</v>
      </c>
      <c r="Q23" s="35">
        <v>2.0</v>
      </c>
    </row>
    <row r="24">
      <c r="A24" s="29" t="s">
        <v>69</v>
      </c>
      <c r="B24" s="29">
        <v>21.0</v>
      </c>
      <c r="C24" s="31">
        <v>5112169.0</v>
      </c>
      <c r="D24" s="31">
        <v>8205728.0</v>
      </c>
      <c r="E24" s="31">
        <v>1452628.0</v>
      </c>
      <c r="F24" s="31">
        <v>4938.0</v>
      </c>
      <c r="G24" s="32">
        <v>0.00339935620131238</v>
      </c>
      <c r="H24" s="32">
        <v>0.07484</v>
      </c>
      <c r="I24" s="32">
        <v>0.04069</v>
      </c>
      <c r="J24" s="32">
        <f t="shared" si="1"/>
        <v>0.03974638204</v>
      </c>
      <c r="K24" s="31">
        <v>326148.0</v>
      </c>
      <c r="L24" s="31">
        <v>108716.0</v>
      </c>
      <c r="M24" s="31">
        <v>314904.0</v>
      </c>
      <c r="N24" s="31">
        <v>11244.0</v>
      </c>
      <c r="O24" s="36">
        <v>0.0</v>
      </c>
      <c r="P24" s="35">
        <v>3.0</v>
      </c>
      <c r="Q24" s="35">
        <v>3.0</v>
      </c>
    </row>
    <row r="25">
      <c r="A25" s="29" t="s">
        <v>54</v>
      </c>
      <c r="B25" s="29">
        <v>22.0</v>
      </c>
      <c r="C25" s="31">
        <v>577267.0</v>
      </c>
      <c r="D25" s="31">
        <v>359638.0</v>
      </c>
      <c r="E25" s="31">
        <v>552118.0</v>
      </c>
      <c r="F25" s="31">
        <v>2667.0</v>
      </c>
      <c r="G25" s="32">
        <v>0.004830489134569059</v>
      </c>
      <c r="H25" s="32">
        <v>0.01382</v>
      </c>
      <c r="I25" s="32">
        <v>0.02598</v>
      </c>
      <c r="J25" s="32">
        <f t="shared" si="1"/>
        <v>0.04242599503</v>
      </c>
      <c r="K25" s="31">
        <v>15258.0</v>
      </c>
      <c r="L25" s="31">
        <v>7629.0</v>
      </c>
      <c r="M25" s="31">
        <v>14778.0</v>
      </c>
      <c r="N25" s="33">
        <v>480.0</v>
      </c>
      <c r="O25" s="37">
        <v>0.0</v>
      </c>
      <c r="P25" s="33">
        <v>2.0</v>
      </c>
      <c r="Q25" s="33">
        <v>2.0</v>
      </c>
    </row>
    <row r="26">
      <c r="A26" s="29" t="s">
        <v>56</v>
      </c>
      <c r="B26" s="29">
        <v>22.0</v>
      </c>
      <c r="C26" s="31">
        <v>4141158.0</v>
      </c>
      <c r="D26" s="31">
        <v>3697558.0</v>
      </c>
      <c r="E26" s="31">
        <v>789819.0</v>
      </c>
      <c r="F26" s="31">
        <v>2300.0</v>
      </c>
      <c r="G26" s="32">
        <v>0.002912059598464965</v>
      </c>
      <c r="H26" s="32">
        <v>0.02726</v>
      </c>
      <c r="I26" s="32">
        <v>0.0171</v>
      </c>
      <c r="J26" s="32">
        <f t="shared" si="1"/>
        <v>0.01747017897</v>
      </c>
      <c r="K26" s="31">
        <v>64597.0</v>
      </c>
      <c r="L26" s="34">
        <v>21532.333</v>
      </c>
      <c r="M26" s="31">
        <v>64428.0</v>
      </c>
      <c r="N26" s="33">
        <v>169.0</v>
      </c>
      <c r="O26" s="37">
        <v>2.0</v>
      </c>
      <c r="P26" s="33">
        <v>1.0</v>
      </c>
      <c r="Q26" s="33">
        <v>3.0</v>
      </c>
    </row>
    <row r="27">
      <c r="A27" s="29" t="s">
        <v>60</v>
      </c>
      <c r="B27" s="29">
        <v>22.0</v>
      </c>
      <c r="C27" s="31">
        <v>1413385.0</v>
      </c>
      <c r="D27" s="31">
        <v>880539.0</v>
      </c>
      <c r="E27" s="31">
        <v>621776.0</v>
      </c>
      <c r="F27" s="31">
        <v>509.0</v>
      </c>
      <c r="G27" s="32">
        <v>8.186227837677877E-4</v>
      </c>
      <c r="H27" s="32">
        <v>0.01912</v>
      </c>
      <c r="I27" s="32">
        <v>0.02576</v>
      </c>
      <c r="J27" s="32">
        <f t="shared" si="1"/>
        <v>0.04041728986</v>
      </c>
      <c r="K27" s="31">
        <v>35589.0</v>
      </c>
      <c r="L27" s="31">
        <v>11863.0</v>
      </c>
      <c r="M27" s="31">
        <v>35388.0</v>
      </c>
      <c r="N27" s="33">
        <v>201.0</v>
      </c>
      <c r="O27" s="37">
        <v>0.0</v>
      </c>
      <c r="P27" s="33">
        <v>3.0</v>
      </c>
      <c r="Q27" s="33">
        <v>3.0</v>
      </c>
    </row>
    <row r="28">
      <c r="A28" s="29" t="s">
        <v>63</v>
      </c>
      <c r="B28" s="29">
        <v>22.0</v>
      </c>
      <c r="C28" s="31">
        <v>2214038.0</v>
      </c>
      <c r="D28" s="31">
        <v>1379346.0</v>
      </c>
      <c r="E28" s="31">
        <v>1313744.0</v>
      </c>
      <c r="F28" s="31">
        <v>6368.0</v>
      </c>
      <c r="G28" s="32">
        <v>0.0048472152869965535</v>
      </c>
      <c r="H28" s="32">
        <v>0.0591</v>
      </c>
      <c r="I28" s="32">
        <v>0.0698</v>
      </c>
      <c r="J28" s="32">
        <f t="shared" si="1"/>
        <v>0.1125700151</v>
      </c>
      <c r="K28" s="31">
        <v>155273.0</v>
      </c>
      <c r="L28" s="34">
        <v>77636.5</v>
      </c>
      <c r="M28" s="31">
        <v>153459.0</v>
      </c>
      <c r="N28" s="31">
        <v>1814.0</v>
      </c>
      <c r="O28" s="37">
        <v>0.0</v>
      </c>
      <c r="P28" s="33">
        <v>2.0</v>
      </c>
      <c r="Q28" s="33">
        <v>2.0</v>
      </c>
    </row>
    <row r="29">
      <c r="A29" s="29" t="s">
        <v>59</v>
      </c>
      <c r="B29" s="29">
        <v>22.0</v>
      </c>
      <c r="C29" s="31">
        <v>485275.0</v>
      </c>
      <c r="D29" s="31">
        <v>302327.0</v>
      </c>
      <c r="E29" s="31">
        <v>454002.0</v>
      </c>
      <c r="F29" s="31">
        <v>1316.0</v>
      </c>
      <c r="G29" s="32">
        <v>0.0028986656446447373</v>
      </c>
      <c r="H29" s="32">
        <v>0.00473</v>
      </c>
      <c r="I29" s="32">
        <v>0.01977</v>
      </c>
      <c r="J29" s="32">
        <f t="shared" si="1"/>
        <v>0.02130143851</v>
      </c>
      <c r="K29" s="31">
        <v>6440.0</v>
      </c>
      <c r="L29" s="34">
        <v>2146.667</v>
      </c>
      <c r="M29" s="31">
        <v>6124.0</v>
      </c>
      <c r="N29" s="33">
        <v>316.0</v>
      </c>
      <c r="O29" s="39">
        <v>0.0</v>
      </c>
      <c r="P29" s="33">
        <v>3.0</v>
      </c>
      <c r="Q29" s="33">
        <v>3.0</v>
      </c>
    </row>
    <row r="30">
      <c r="A30" s="29" t="s">
        <v>61</v>
      </c>
      <c r="B30" s="29">
        <v>22.0</v>
      </c>
      <c r="C30" s="31">
        <v>2730722.0</v>
      </c>
      <c r="D30" s="31">
        <v>2068123.0</v>
      </c>
      <c r="E30" s="31">
        <v>1323006.0</v>
      </c>
      <c r="F30" s="31">
        <v>3845.0</v>
      </c>
      <c r="G30" s="32">
        <v>0.002906260440239878</v>
      </c>
      <c r="H30" s="32">
        <v>0.01941</v>
      </c>
      <c r="I30" s="32">
        <v>0.04308</v>
      </c>
      <c r="J30" s="32">
        <f t="shared" si="1"/>
        <v>0.0496677422</v>
      </c>
      <c r="K30" s="31">
        <v>102719.0</v>
      </c>
      <c r="L30" s="34">
        <v>25679.75</v>
      </c>
      <c r="M30" s="31">
        <v>102090.0</v>
      </c>
      <c r="N30" s="33">
        <v>629.0</v>
      </c>
      <c r="O30" s="39">
        <v>1.0</v>
      </c>
      <c r="P30" s="33">
        <v>3.0</v>
      </c>
      <c r="Q30" s="33">
        <v>4.0</v>
      </c>
    </row>
    <row r="31">
      <c r="A31" s="29" t="s">
        <v>67</v>
      </c>
      <c r="B31" s="29">
        <v>22.0</v>
      </c>
      <c r="C31" s="31">
        <v>1551001.0</v>
      </c>
      <c r="D31" s="31">
        <v>976740.0</v>
      </c>
      <c r="E31" s="31">
        <v>367576.0</v>
      </c>
      <c r="F31" s="31">
        <v>1062.0</v>
      </c>
      <c r="G31" s="32">
        <v>0.002889198424271443</v>
      </c>
      <c r="H31" s="32">
        <v>0.03044</v>
      </c>
      <c r="I31" s="32">
        <v>0.03466</v>
      </c>
      <c r="J31" s="32">
        <f t="shared" si="1"/>
        <v>0.06874398509</v>
      </c>
      <c r="K31" s="31">
        <v>67145.0</v>
      </c>
      <c r="L31" s="34">
        <v>11190.833</v>
      </c>
      <c r="M31" s="31">
        <v>66815.0</v>
      </c>
      <c r="N31" s="33">
        <v>330.0</v>
      </c>
      <c r="O31" s="39">
        <v>1.0</v>
      </c>
      <c r="P31" s="33">
        <v>5.0</v>
      </c>
      <c r="Q31" s="33">
        <v>6.0</v>
      </c>
    </row>
    <row r="32">
      <c r="A32" s="29" t="s">
        <v>64</v>
      </c>
      <c r="B32" s="29">
        <v>22.0</v>
      </c>
      <c r="C32" s="31">
        <v>2.4893911E7</v>
      </c>
      <c r="D32" s="31">
        <v>1.5508907E7</v>
      </c>
      <c r="E32" s="31">
        <v>5466194.0</v>
      </c>
      <c r="F32" s="31">
        <v>15871.0</v>
      </c>
      <c r="G32" s="32">
        <v>0.002903482752350173</v>
      </c>
      <c r="H32" s="32">
        <v>0.02062</v>
      </c>
      <c r="I32" s="32">
        <v>0.03372</v>
      </c>
      <c r="J32" s="32">
        <f t="shared" si="1"/>
        <v>0.05813033762</v>
      </c>
      <c r="K32" s="31">
        <v>901538.0</v>
      </c>
      <c r="L32" s="34">
        <v>112692.25</v>
      </c>
      <c r="M32" s="31">
        <v>885975.0</v>
      </c>
      <c r="N32" s="31">
        <v>15563.0</v>
      </c>
      <c r="O32" s="39">
        <v>0.0</v>
      </c>
      <c r="P32" s="33">
        <v>8.0</v>
      </c>
      <c r="Q32" s="33">
        <v>8.0</v>
      </c>
    </row>
    <row r="33">
      <c r="A33" s="29" t="s">
        <v>68</v>
      </c>
      <c r="B33" s="29">
        <v>22.0</v>
      </c>
      <c r="C33" s="31">
        <v>1799640.0</v>
      </c>
      <c r="D33" s="31">
        <v>1121175.0</v>
      </c>
      <c r="E33" s="31">
        <v>645206.0</v>
      </c>
      <c r="F33" s="31">
        <v>1877.0</v>
      </c>
      <c r="G33" s="32">
        <v>0.002909148396016156</v>
      </c>
      <c r="H33" s="32">
        <v>0.01467</v>
      </c>
      <c r="I33" s="32">
        <v>0.01758</v>
      </c>
      <c r="J33" s="32">
        <f t="shared" si="1"/>
        <v>0.03377617232</v>
      </c>
      <c r="K33" s="31">
        <v>37869.0</v>
      </c>
      <c r="L33" s="34">
        <v>9467.25</v>
      </c>
      <c r="M33" s="31">
        <v>37438.0</v>
      </c>
      <c r="N33" s="33">
        <v>431.0</v>
      </c>
      <c r="O33" s="39">
        <v>0.0</v>
      </c>
      <c r="P33" s="33">
        <v>4.0</v>
      </c>
      <c r="Q33" s="33">
        <v>4.0</v>
      </c>
    </row>
    <row r="34">
      <c r="A34" s="29" t="s">
        <v>69</v>
      </c>
      <c r="B34" s="29">
        <v>22.0</v>
      </c>
      <c r="C34" s="31">
        <v>1.0851244E7</v>
      </c>
      <c r="D34" s="31">
        <v>7143401.0</v>
      </c>
      <c r="E34" s="31">
        <v>1456866.0</v>
      </c>
      <c r="F34" s="31">
        <v>4238.0</v>
      </c>
      <c r="G34" s="32">
        <v>0.0029089840795241293</v>
      </c>
      <c r="H34" s="32">
        <v>0.06012</v>
      </c>
      <c r="I34" s="32">
        <v>0.0433</v>
      </c>
      <c r="J34" s="32">
        <f t="shared" si="1"/>
        <v>0.06130623214</v>
      </c>
      <c r="K34" s="31">
        <v>437935.0</v>
      </c>
      <c r="L34" s="31">
        <v>87587.0</v>
      </c>
      <c r="M34" s="31">
        <v>421626.0</v>
      </c>
      <c r="N34" s="31">
        <v>16309.0</v>
      </c>
      <c r="O34" s="39">
        <v>1.0</v>
      </c>
      <c r="P34" s="33">
        <v>4.0</v>
      </c>
      <c r="Q34" s="33">
        <v>5.0</v>
      </c>
    </row>
    <row r="35">
      <c r="A35" s="29" t="s">
        <v>54</v>
      </c>
      <c r="B35" s="29">
        <v>23.0</v>
      </c>
      <c r="C35" s="31">
        <v>2406224.0</v>
      </c>
      <c r="D35" s="31">
        <v>1759254.0</v>
      </c>
      <c r="E35" s="31">
        <v>552246.0</v>
      </c>
      <c r="F35" s="31">
        <v>128.0</v>
      </c>
      <c r="G35" s="32">
        <v>2.31780764369502E-4</v>
      </c>
      <c r="H35" s="32">
        <v>0.01251</v>
      </c>
      <c r="I35" s="32">
        <v>0.00909</v>
      </c>
      <c r="J35" s="32">
        <f t="shared" si="1"/>
        <v>0.01570552064</v>
      </c>
      <c r="K35" s="31">
        <v>27630.0</v>
      </c>
      <c r="L35" s="34">
        <v>6907.5</v>
      </c>
      <c r="M35" s="35">
        <v>27299.0</v>
      </c>
      <c r="N35" s="35">
        <v>331.0</v>
      </c>
      <c r="O35" s="40">
        <v>1.0</v>
      </c>
      <c r="P35" s="35">
        <v>3.0</v>
      </c>
      <c r="Q35" s="33">
        <v>4.0</v>
      </c>
    </row>
    <row r="36">
      <c r="A36" s="29" t="s">
        <v>56</v>
      </c>
      <c r="B36" s="29">
        <v>23.0</v>
      </c>
      <c r="C36" s="31">
        <v>2318222.0</v>
      </c>
      <c r="D36" s="31">
        <v>2057300.0</v>
      </c>
      <c r="E36" s="31">
        <v>789198.0</v>
      </c>
      <c r="F36" s="31">
        <v>-621.0</v>
      </c>
      <c r="G36" s="32">
        <v>-7.868747766720138E-4</v>
      </c>
      <c r="H36" s="32">
        <v>0.0299</v>
      </c>
      <c r="I36" s="32">
        <v>0.025</v>
      </c>
      <c r="J36" s="32">
        <f t="shared" si="1"/>
        <v>0.02294074758</v>
      </c>
      <c r="K36" s="31">
        <v>47196.0</v>
      </c>
      <c r="L36" s="31">
        <v>23598.0</v>
      </c>
      <c r="M36" s="35">
        <v>47117.0</v>
      </c>
      <c r="N36" s="35">
        <v>79.0</v>
      </c>
      <c r="O36" s="40">
        <v>1.0</v>
      </c>
      <c r="P36" s="35">
        <v>1.0</v>
      </c>
      <c r="Q36" s="33">
        <v>2.0</v>
      </c>
    </row>
    <row r="37">
      <c r="A37" s="29" t="s">
        <v>60</v>
      </c>
      <c r="B37" s="29">
        <v>23.0</v>
      </c>
      <c r="C37" s="31">
        <v>264145.0</v>
      </c>
      <c r="D37" s="31">
        <v>164562.0</v>
      </c>
      <c r="E37" s="31">
        <v>620494.0</v>
      </c>
      <c r="F37" s="31">
        <v>-1282.0</v>
      </c>
      <c r="G37" s="32">
        <v>-0.002066095723729802</v>
      </c>
      <c r="H37" s="32">
        <v>0.02028</v>
      </c>
      <c r="I37" s="32">
        <v>0.04764</v>
      </c>
      <c r="J37" s="32">
        <f t="shared" si="1"/>
        <v>0.07646965885</v>
      </c>
      <c r="K37" s="31">
        <v>12584.0</v>
      </c>
      <c r="L37" s="31">
        <v>12584.0</v>
      </c>
      <c r="M37" s="35">
        <v>12258.0</v>
      </c>
      <c r="N37" s="35">
        <v>326.0</v>
      </c>
      <c r="O37" s="40">
        <v>0.0</v>
      </c>
      <c r="P37" s="35">
        <v>1.0</v>
      </c>
      <c r="Q37" s="33">
        <v>1.0</v>
      </c>
    </row>
    <row r="38">
      <c r="A38" s="29" t="s">
        <v>63</v>
      </c>
      <c r="B38" s="29">
        <v>23.0</v>
      </c>
      <c r="C38" s="31">
        <v>1044920.0</v>
      </c>
      <c r="D38" s="31">
        <v>650985.0</v>
      </c>
      <c r="E38" s="31">
        <v>1315270.0</v>
      </c>
      <c r="F38" s="31">
        <v>1526.0</v>
      </c>
      <c r="G38" s="32">
        <v>0.0011602180540877538</v>
      </c>
      <c r="H38" s="32">
        <v>0.02452</v>
      </c>
      <c r="I38" s="32">
        <v>0.06212</v>
      </c>
      <c r="J38" s="32">
        <f t="shared" si="1"/>
        <v>0.09908984078</v>
      </c>
      <c r="K38" s="31">
        <v>64506.0</v>
      </c>
      <c r="L38" s="31">
        <v>32253.0</v>
      </c>
      <c r="M38" s="35">
        <v>63447.0</v>
      </c>
      <c r="N38" s="35">
        <v>1059.0</v>
      </c>
      <c r="O38" s="40">
        <v>0.0</v>
      </c>
      <c r="P38" s="35">
        <v>2.0</v>
      </c>
      <c r="Q38" s="33">
        <v>2.0</v>
      </c>
    </row>
    <row r="39">
      <c r="A39" s="29" t="s">
        <v>59</v>
      </c>
      <c r="B39" s="29">
        <v>23.0</v>
      </c>
      <c r="C39" s="31">
        <v>1570230.0</v>
      </c>
      <c r="D39" s="31">
        <v>978253.0</v>
      </c>
      <c r="E39" s="31">
        <v>454331.0</v>
      </c>
      <c r="F39" s="31">
        <v>329.0</v>
      </c>
      <c r="G39" s="32">
        <v>7.241416500304844E-4</v>
      </c>
      <c r="H39" s="32">
        <v>0.00865</v>
      </c>
      <c r="I39" s="32">
        <v>0.02065</v>
      </c>
      <c r="J39" s="32">
        <f t="shared" si="1"/>
        <v>0.01205823034</v>
      </c>
      <c r="K39" s="31">
        <v>11796.0</v>
      </c>
      <c r="L39" s="31">
        <v>3932.0</v>
      </c>
      <c r="M39" s="35">
        <v>11483.0</v>
      </c>
      <c r="N39" s="35">
        <v>313.0</v>
      </c>
      <c r="O39" s="40">
        <v>0.0</v>
      </c>
      <c r="P39" s="35">
        <v>3.0</v>
      </c>
      <c r="Q39" s="33">
        <v>3.0</v>
      </c>
    </row>
    <row r="40">
      <c r="A40" s="29" t="s">
        <v>61</v>
      </c>
      <c r="B40" s="29">
        <v>23.0</v>
      </c>
      <c r="C40" s="31">
        <v>998541.0</v>
      </c>
      <c r="D40" s="31">
        <v>622092.0</v>
      </c>
      <c r="E40" s="31">
        <v>1325256.0</v>
      </c>
      <c r="F40" s="31">
        <v>2250.0</v>
      </c>
      <c r="G40" s="32">
        <v>0.0016977851826364115</v>
      </c>
      <c r="H40" s="32">
        <v>0.01187</v>
      </c>
      <c r="I40" s="32">
        <v>0.06274</v>
      </c>
      <c r="J40" s="32">
        <f t="shared" si="1"/>
        <v>0.101165101</v>
      </c>
      <c r="K40" s="31">
        <v>62934.0</v>
      </c>
      <c r="L40" s="34">
        <v>15733.5</v>
      </c>
      <c r="M40" s="35">
        <v>62532.0</v>
      </c>
      <c r="N40" s="35">
        <v>402.0</v>
      </c>
      <c r="O40" s="40">
        <v>0.0</v>
      </c>
      <c r="P40" s="35">
        <v>4.0</v>
      </c>
      <c r="Q40" s="33">
        <v>4.0</v>
      </c>
    </row>
    <row r="41">
      <c r="A41" s="29" t="s">
        <v>67</v>
      </c>
      <c r="B41" s="29">
        <v>23.0</v>
      </c>
      <c r="C41" s="31">
        <v>1788955.0</v>
      </c>
      <c r="D41" s="31">
        <v>1114519.0</v>
      </c>
      <c r="E41" s="31">
        <v>368502.0</v>
      </c>
      <c r="F41" s="31">
        <v>926.0</v>
      </c>
      <c r="G41" s="32">
        <v>0.002512876456572827</v>
      </c>
      <c r="H41" s="32">
        <v>0.0182</v>
      </c>
      <c r="I41" s="32">
        <v>0.02143</v>
      </c>
      <c r="J41" s="32">
        <f t="shared" si="1"/>
        <v>0.03611154229</v>
      </c>
      <c r="K41" s="31">
        <v>40247.0</v>
      </c>
      <c r="L41" s="34">
        <v>6707.833</v>
      </c>
      <c r="M41" s="35">
        <v>39872.0</v>
      </c>
      <c r="N41" s="35">
        <v>375.0</v>
      </c>
      <c r="O41" s="40">
        <v>0.0</v>
      </c>
      <c r="P41" s="35">
        <v>6.0</v>
      </c>
      <c r="Q41" s="33">
        <v>6.0</v>
      </c>
    </row>
    <row r="42">
      <c r="A42" s="29" t="s">
        <v>64</v>
      </c>
      <c r="B42" s="29">
        <v>23.0</v>
      </c>
      <c r="C42" s="31">
        <v>9665763.0</v>
      </c>
      <c r="D42" s="31">
        <v>6021770.0</v>
      </c>
      <c r="E42" s="31">
        <v>5468904.0</v>
      </c>
      <c r="F42" s="31">
        <v>2710.0</v>
      </c>
      <c r="G42" s="32">
        <v>4.955289030489473E-4</v>
      </c>
      <c r="H42" s="32">
        <v>0.00743</v>
      </c>
      <c r="I42" s="32">
        <v>0.03237</v>
      </c>
      <c r="J42" s="32">
        <f t="shared" si="1"/>
        <v>0.05399990368</v>
      </c>
      <c r="K42" s="31">
        <v>325175.0</v>
      </c>
      <c r="L42" s="34">
        <v>40646.875</v>
      </c>
      <c r="M42" s="35">
        <v>321523.0</v>
      </c>
      <c r="N42" s="35">
        <v>3652.0</v>
      </c>
      <c r="O42" s="40">
        <v>0.0</v>
      </c>
      <c r="P42" s="35">
        <v>8.0</v>
      </c>
      <c r="Q42" s="33">
        <v>8.0</v>
      </c>
    </row>
    <row r="43">
      <c r="A43" s="29" t="s">
        <v>68</v>
      </c>
      <c r="B43" s="29">
        <v>23.0</v>
      </c>
      <c r="C43" s="31">
        <v>4710485.0</v>
      </c>
      <c r="D43" s="31">
        <v>3277970.0</v>
      </c>
      <c r="E43" s="31">
        <v>645244.0</v>
      </c>
      <c r="F43" s="31">
        <v>38.0</v>
      </c>
      <c r="G43" s="32">
        <v>5.889244998791155E-5</v>
      </c>
      <c r="H43" s="32">
        <v>0.02046</v>
      </c>
      <c r="I43" s="32">
        <v>0.0205</v>
      </c>
      <c r="J43" s="32">
        <f t="shared" si="1"/>
        <v>0.03625475523</v>
      </c>
      <c r="K43" s="31">
        <v>118842.0</v>
      </c>
      <c r="L43" s="34">
        <v>13204.667</v>
      </c>
      <c r="M43" s="35">
        <v>117687.0</v>
      </c>
      <c r="N43" s="35">
        <v>1155.0</v>
      </c>
      <c r="O43" s="10">
        <v>1.0</v>
      </c>
      <c r="P43" s="35">
        <v>8.0</v>
      </c>
      <c r="Q43" s="33">
        <v>9.0</v>
      </c>
    </row>
    <row r="44">
      <c r="A44" s="29" t="s">
        <v>69</v>
      </c>
      <c r="B44" s="29">
        <v>23.0</v>
      </c>
      <c r="C44" s="31">
        <v>1400693.0</v>
      </c>
      <c r="D44" s="31">
        <v>872632.0</v>
      </c>
      <c r="E44" s="31">
        <v>1458581.0</v>
      </c>
      <c r="F44" s="31">
        <v>1715.0</v>
      </c>
      <c r="G44" s="32">
        <v>0.0011758003155121312</v>
      </c>
      <c r="H44" s="32">
        <v>0.04614</v>
      </c>
      <c r="I44" s="32">
        <v>0.04805</v>
      </c>
      <c r="J44" s="32">
        <f t="shared" si="1"/>
        <v>0.07711956472</v>
      </c>
      <c r="K44" s="31">
        <v>67297.0</v>
      </c>
      <c r="L44" s="31">
        <v>67297.0</v>
      </c>
      <c r="M44" s="35">
        <v>63888.0</v>
      </c>
      <c r="N44" s="35">
        <v>3409.0</v>
      </c>
      <c r="O44" s="10">
        <v>0.0</v>
      </c>
      <c r="P44" s="35">
        <v>1.0</v>
      </c>
      <c r="Q44" s="33">
        <v>1.0</v>
      </c>
    </row>
    <row r="45">
      <c r="A45" s="29" t="s">
        <v>54</v>
      </c>
      <c r="B45" s="29">
        <v>24.0</v>
      </c>
      <c r="C45" s="41">
        <v>2593119.0</v>
      </c>
      <c r="D45" s="41">
        <v>1909960.0</v>
      </c>
      <c r="E45" s="31">
        <v>552366.0</v>
      </c>
      <c r="F45" s="31">
        <v>120.0</v>
      </c>
      <c r="G45" s="32">
        <v>2.1724725996893364E-4</v>
      </c>
      <c r="H45" s="42">
        <v>0.01835</v>
      </c>
      <c r="I45" s="42">
        <v>0.01455</v>
      </c>
      <c r="J45" s="32">
        <f t="shared" si="1"/>
        <v>0.02122243398</v>
      </c>
      <c r="K45" s="41">
        <v>40534.0</v>
      </c>
      <c r="L45" s="43">
        <v>10133.5</v>
      </c>
      <c r="M45" s="44">
        <v>39872.0</v>
      </c>
      <c r="N45" s="44">
        <v>662.0</v>
      </c>
      <c r="O45" s="10">
        <v>1.0</v>
      </c>
      <c r="P45" s="45">
        <v>3.0</v>
      </c>
      <c r="Q45" s="45">
        <v>4.0</v>
      </c>
    </row>
    <row r="46">
      <c r="A46" s="29" t="s">
        <v>56</v>
      </c>
      <c r="B46" s="29">
        <v>24.0</v>
      </c>
      <c r="C46" s="41">
        <v>2063156.0</v>
      </c>
      <c r="D46" s="41">
        <v>1487112.0</v>
      </c>
      <c r="E46" s="31">
        <v>788230.0</v>
      </c>
      <c r="F46" s="31">
        <v>-968.0</v>
      </c>
      <c r="G46" s="32">
        <v>-0.00122806794971011</v>
      </c>
      <c r="H46" s="42">
        <v>0.02731</v>
      </c>
      <c r="I46" s="42">
        <v>0.08841</v>
      </c>
      <c r="J46" s="32">
        <f t="shared" si="1"/>
        <v>0.1157955823</v>
      </c>
      <c r="K46" s="41">
        <v>172201.0</v>
      </c>
      <c r="L46" s="43">
        <v>21525.125</v>
      </c>
      <c r="M46" s="44">
        <v>171889.0</v>
      </c>
      <c r="N46" s="44">
        <v>312.0</v>
      </c>
      <c r="O46" s="10">
        <v>3.0</v>
      </c>
      <c r="P46" s="45">
        <v>5.0</v>
      </c>
      <c r="Q46" s="45">
        <v>8.0</v>
      </c>
    </row>
    <row r="47">
      <c r="A47" s="29" t="s">
        <v>60</v>
      </c>
      <c r="B47" s="29">
        <v>24.0</v>
      </c>
      <c r="C47" s="41">
        <v>595756.0</v>
      </c>
      <c r="D47" s="41">
        <v>406452.0</v>
      </c>
      <c r="E47" s="31">
        <v>621023.0</v>
      </c>
      <c r="F47" s="31">
        <v>529.0</v>
      </c>
      <c r="G47" s="32">
        <v>8.518203029517426E-4</v>
      </c>
      <c r="H47" s="42">
        <v>0.0216</v>
      </c>
      <c r="I47" s="42">
        <v>0.06649</v>
      </c>
      <c r="J47" s="32">
        <f t="shared" si="1"/>
        <v>0.06601025459</v>
      </c>
      <c r="K47" s="41">
        <v>26830.0</v>
      </c>
      <c r="L47" s="41">
        <v>13415.0</v>
      </c>
      <c r="M47" s="44">
        <v>26575.0</v>
      </c>
      <c r="N47" s="44">
        <v>255.0</v>
      </c>
      <c r="O47" s="10">
        <v>1.0</v>
      </c>
      <c r="P47" s="45">
        <v>1.0</v>
      </c>
      <c r="Q47" s="45">
        <v>2.0</v>
      </c>
    </row>
    <row r="48">
      <c r="A48" s="29" t="s">
        <v>63</v>
      </c>
      <c r="B48" s="29">
        <v>24.0</v>
      </c>
      <c r="C48" s="41">
        <v>3772757.0</v>
      </c>
      <c r="D48" s="41">
        <v>2350428.0</v>
      </c>
      <c r="E48" s="31">
        <v>1318049.0</v>
      </c>
      <c r="F48" s="31">
        <v>2779.0</v>
      </c>
      <c r="G48" s="32">
        <v>0.002108419337976054</v>
      </c>
      <c r="H48" s="42">
        <v>0.09153</v>
      </c>
      <c r="I48" s="42">
        <v>0.06643</v>
      </c>
      <c r="J48" s="32">
        <f t="shared" si="1"/>
        <v>0.1026561971</v>
      </c>
      <c r="K48" s="41">
        <v>241286.0</v>
      </c>
      <c r="L48" s="41">
        <v>120643.0</v>
      </c>
      <c r="M48" s="44">
        <v>237800.0</v>
      </c>
      <c r="N48" s="44">
        <v>3486.0</v>
      </c>
      <c r="O48" s="10">
        <v>0.0</v>
      </c>
      <c r="P48" s="45">
        <v>2.0</v>
      </c>
      <c r="Q48" s="45">
        <v>2.0</v>
      </c>
    </row>
    <row r="49">
      <c r="A49" s="29" t="s">
        <v>59</v>
      </c>
      <c r="B49" s="29">
        <v>24.0</v>
      </c>
      <c r="C49" s="41">
        <v>511230.0</v>
      </c>
      <c r="D49" s="41">
        <v>318496.0</v>
      </c>
      <c r="E49" s="31">
        <v>454105.0</v>
      </c>
      <c r="F49" s="31">
        <v>-226.0</v>
      </c>
      <c r="G49" s="32">
        <v>-4.97682254104227E-4</v>
      </c>
      <c r="H49" s="42">
        <v>0.01287</v>
      </c>
      <c r="I49" s="42">
        <v>0.03188</v>
      </c>
      <c r="J49" s="32">
        <f t="shared" si="1"/>
        <v>0.03670375766</v>
      </c>
      <c r="K49" s="41">
        <v>11690.0</v>
      </c>
      <c r="L49" s="41">
        <v>5845.0</v>
      </c>
      <c r="M49" s="44">
        <v>10939.0</v>
      </c>
      <c r="N49" s="44">
        <v>751.0</v>
      </c>
      <c r="O49" s="10">
        <v>0.0</v>
      </c>
      <c r="P49" s="45">
        <v>2.0</v>
      </c>
      <c r="Q49" s="45">
        <v>2.0</v>
      </c>
    </row>
    <row r="50">
      <c r="A50" s="29" t="s">
        <v>61</v>
      </c>
      <c r="B50" s="29">
        <v>24.0</v>
      </c>
      <c r="C50" s="41">
        <v>1982573.0</v>
      </c>
      <c r="D50" s="41">
        <v>1514233.0</v>
      </c>
      <c r="E50" s="31">
        <v>1326501.0</v>
      </c>
      <c r="F50" s="31">
        <v>1245.0</v>
      </c>
      <c r="G50" s="32">
        <v>9.385594130724364E-4</v>
      </c>
      <c r="H50" s="42">
        <v>0.03157</v>
      </c>
      <c r="I50" s="42">
        <v>0.0492</v>
      </c>
      <c r="J50" s="32">
        <f t="shared" si="1"/>
        <v>0.08297600171</v>
      </c>
      <c r="K50" s="41">
        <v>125645.0</v>
      </c>
      <c r="L50" s="43">
        <v>41881.667</v>
      </c>
      <c r="M50" s="44">
        <v>125284.0</v>
      </c>
      <c r="N50" s="44">
        <v>361.0</v>
      </c>
      <c r="O50" s="10">
        <v>2.0</v>
      </c>
      <c r="P50" s="45">
        <v>1.0</v>
      </c>
      <c r="Q50" s="45">
        <v>3.0</v>
      </c>
    </row>
    <row r="51">
      <c r="A51" s="29" t="s">
        <v>67</v>
      </c>
      <c r="B51" s="29">
        <v>24.0</v>
      </c>
      <c r="C51" s="41">
        <v>859669.0</v>
      </c>
      <c r="D51" s="41">
        <v>553483.0</v>
      </c>
      <c r="E51" s="31">
        <v>369873.0</v>
      </c>
      <c r="F51" s="31">
        <v>1371.0</v>
      </c>
      <c r="G51" s="32">
        <v>0.003706677697479946</v>
      </c>
      <c r="H51" s="42">
        <v>0.05873</v>
      </c>
      <c r="I51" s="42">
        <v>0.10371</v>
      </c>
      <c r="J51" s="32">
        <f t="shared" si="1"/>
        <v>0.1177326133</v>
      </c>
      <c r="K51" s="41">
        <v>65163.0</v>
      </c>
      <c r="L51" s="41">
        <v>21721.0</v>
      </c>
      <c r="M51" s="44">
        <v>64990.0</v>
      </c>
      <c r="N51" s="44">
        <v>173.0</v>
      </c>
      <c r="O51" s="10">
        <v>1.0</v>
      </c>
      <c r="P51" s="45">
        <v>2.0</v>
      </c>
      <c r="Q51" s="45">
        <v>3.0</v>
      </c>
      <c r="R51" s="6"/>
      <c r="S51" s="6"/>
      <c r="T51" s="6"/>
      <c r="U51" s="6"/>
      <c r="V51" s="6"/>
      <c r="W51" s="6"/>
      <c r="X51" s="6"/>
      <c r="Y51" s="6"/>
    </row>
    <row r="52">
      <c r="A52" s="29" t="s">
        <v>64</v>
      </c>
      <c r="B52" s="29">
        <v>24.0</v>
      </c>
      <c r="C52" s="41">
        <v>1.0528047E7</v>
      </c>
      <c r="D52" s="41">
        <v>6558975.0</v>
      </c>
      <c r="E52" s="31">
        <v>5469875.0</v>
      </c>
      <c r="F52" s="31">
        <v>971.0</v>
      </c>
      <c r="G52" s="32">
        <v>1.775177677734866E-4</v>
      </c>
      <c r="H52" s="42">
        <v>0.00969</v>
      </c>
      <c r="I52" s="42">
        <v>0.0275</v>
      </c>
      <c r="J52" s="32">
        <f t="shared" si="1"/>
        <v>0.04849797415</v>
      </c>
      <c r="K52" s="41">
        <v>318097.0</v>
      </c>
      <c r="L52" s="43">
        <v>53016.167</v>
      </c>
      <c r="M52" s="44">
        <v>311961.0</v>
      </c>
      <c r="N52" s="44">
        <v>6136.0</v>
      </c>
      <c r="O52" s="10">
        <v>0.0</v>
      </c>
      <c r="P52" s="45">
        <v>6.0</v>
      </c>
      <c r="Q52" s="45">
        <v>6.0</v>
      </c>
      <c r="R52" s="6"/>
      <c r="S52" s="6"/>
      <c r="T52" s="6"/>
      <c r="U52" s="6"/>
      <c r="V52" s="6"/>
      <c r="W52" s="6"/>
      <c r="X52" s="6"/>
      <c r="Y52" s="6"/>
    </row>
    <row r="53">
      <c r="A53" s="29" t="s">
        <v>68</v>
      </c>
      <c r="B53" s="29">
        <v>24.0</v>
      </c>
      <c r="C53" s="41">
        <v>5694621.0</v>
      </c>
      <c r="D53" s="41">
        <v>3595537.0</v>
      </c>
      <c r="E53" s="31">
        <v>646688.0</v>
      </c>
      <c r="F53" s="31">
        <v>1444.0</v>
      </c>
      <c r="G53" s="32">
        <v>0.0022329160275124946</v>
      </c>
      <c r="H53" s="42">
        <v>0.04788</v>
      </c>
      <c r="I53" s="42">
        <v>0.02644</v>
      </c>
      <c r="J53" s="32">
        <f t="shared" si="1"/>
        <v>0.0602844582</v>
      </c>
      <c r="K53" s="41">
        <v>216755.0</v>
      </c>
      <c r="L53" s="41">
        <v>30965.0</v>
      </c>
      <c r="M53" s="44">
        <v>214991.0</v>
      </c>
      <c r="N53" s="44">
        <v>1764.0</v>
      </c>
      <c r="O53" s="10">
        <v>1.0</v>
      </c>
      <c r="P53" s="45">
        <v>6.0</v>
      </c>
      <c r="Q53" s="45">
        <v>7.0</v>
      </c>
      <c r="R53" s="6"/>
      <c r="S53" s="6"/>
      <c r="T53" s="6"/>
      <c r="U53" s="6"/>
      <c r="V53" s="6"/>
      <c r="W53" s="6"/>
      <c r="X53" s="6"/>
      <c r="Y53" s="6"/>
    </row>
    <row r="54">
      <c r="A54" s="29" t="s">
        <v>69</v>
      </c>
      <c r="B54" s="29">
        <v>24.0</v>
      </c>
      <c r="C54" s="41">
        <v>5148580.0</v>
      </c>
      <c r="D54" s="41">
        <v>3207565.0</v>
      </c>
      <c r="E54" s="31">
        <v>1460162.0</v>
      </c>
      <c r="F54" s="31">
        <v>1581.0</v>
      </c>
      <c r="G54" s="32">
        <v>0.0010827565708462486</v>
      </c>
      <c r="H54" s="42">
        <v>0.08204</v>
      </c>
      <c r="I54" s="42">
        <v>0.04445</v>
      </c>
      <c r="J54" s="32">
        <f t="shared" si="1"/>
        <v>0.07468936717</v>
      </c>
      <c r="K54" s="41">
        <v>239571.0</v>
      </c>
      <c r="L54" s="43">
        <v>119785.5</v>
      </c>
      <c r="M54" s="44">
        <v>221783.0</v>
      </c>
      <c r="N54" s="44">
        <v>17788.0</v>
      </c>
      <c r="O54" s="10">
        <v>0.0</v>
      </c>
      <c r="P54" s="45">
        <v>2.0</v>
      </c>
      <c r="Q54" s="45">
        <v>2.0</v>
      </c>
      <c r="R54" s="6"/>
      <c r="S54" s="6"/>
      <c r="T54" s="6"/>
      <c r="U54" s="6"/>
      <c r="V54" s="6"/>
      <c r="W54" s="6"/>
      <c r="X54" s="6"/>
      <c r="Y54" s="6"/>
    </row>
    <row r="55">
      <c r="A55" s="29" t="s">
        <v>54</v>
      </c>
      <c r="B55" s="29">
        <v>25.0</v>
      </c>
      <c r="C55" s="31">
        <v>2318458.0</v>
      </c>
      <c r="D55" s="31">
        <v>1490568.0</v>
      </c>
      <c r="E55" s="31">
        <v>550191.0</v>
      </c>
      <c r="F55" s="31">
        <v>-2175.0</v>
      </c>
      <c r="G55" s="32">
        <v>-0.003953172625506415</v>
      </c>
      <c r="H55" s="32">
        <v>0.01547</v>
      </c>
      <c r="I55" s="32">
        <v>0.07099</v>
      </c>
      <c r="J55" s="32">
        <f t="shared" si="1"/>
        <v>0.0285441523</v>
      </c>
      <c r="K55" s="31">
        <v>42547.0</v>
      </c>
      <c r="L55" s="34">
        <v>8509.4</v>
      </c>
      <c r="M55" s="35">
        <v>42070.0</v>
      </c>
      <c r="N55" s="35">
        <v>477.0</v>
      </c>
      <c r="O55" s="10">
        <v>2.0</v>
      </c>
      <c r="P55" s="33">
        <v>3.0</v>
      </c>
      <c r="Q55" s="33">
        <v>5.0</v>
      </c>
      <c r="R55" s="6"/>
      <c r="S55" s="6"/>
      <c r="T55" s="6"/>
      <c r="U55" s="6"/>
      <c r="V55" s="6"/>
      <c r="W55" s="6"/>
      <c r="X55" s="6"/>
      <c r="Y55" s="6"/>
    </row>
    <row r="56">
      <c r="A56" s="29" t="s">
        <v>56</v>
      </c>
      <c r="B56" s="29">
        <v>25.0</v>
      </c>
      <c r="C56" s="31">
        <v>7591399.0</v>
      </c>
      <c r="D56" s="31">
        <v>5005460.0</v>
      </c>
      <c r="E56" s="31">
        <v>783555.0</v>
      </c>
      <c r="F56" s="31">
        <v>-4675.0</v>
      </c>
      <c r="G56" s="32">
        <v>-0.0059663967430493075</v>
      </c>
      <c r="H56" s="32">
        <v>0.03405</v>
      </c>
      <c r="I56" s="32">
        <v>0.13058</v>
      </c>
      <c r="J56" s="32">
        <f t="shared" si="1"/>
        <v>0.03731645044</v>
      </c>
      <c r="K56" s="31">
        <v>186786.0</v>
      </c>
      <c r="L56" s="34">
        <v>26683.714</v>
      </c>
      <c r="M56" s="35">
        <v>185928.0</v>
      </c>
      <c r="N56" s="35">
        <v>858.0</v>
      </c>
      <c r="O56" s="10">
        <v>5.0</v>
      </c>
      <c r="P56" s="33">
        <v>2.0</v>
      </c>
      <c r="Q56" s="33">
        <v>7.0</v>
      </c>
      <c r="R56" s="6"/>
      <c r="S56" s="6"/>
      <c r="T56" s="6"/>
      <c r="U56" s="6"/>
      <c r="V56" s="6"/>
      <c r="W56" s="6"/>
      <c r="X56" s="6"/>
      <c r="Y56" s="6"/>
    </row>
    <row r="57">
      <c r="A57" s="29" t="s">
        <v>60</v>
      </c>
      <c r="B57" s="29">
        <v>25.0</v>
      </c>
      <c r="C57" s="31">
        <v>4044533.0</v>
      </c>
      <c r="D57" s="31">
        <v>2519744.0</v>
      </c>
      <c r="E57" s="31">
        <v>623134.0</v>
      </c>
      <c r="F57" s="31">
        <v>2111.0</v>
      </c>
      <c r="G57" s="32">
        <v>0.003387714359993196</v>
      </c>
      <c r="H57" s="32">
        <v>0.02256</v>
      </c>
      <c r="I57" s="32">
        <v>0.02083</v>
      </c>
      <c r="J57" s="32">
        <f t="shared" si="1"/>
        <v>0.01115946699</v>
      </c>
      <c r="K57" s="31">
        <v>28119.0</v>
      </c>
      <c r="L57" s="34">
        <v>14059.5</v>
      </c>
      <c r="M57" s="35">
        <v>27918.0</v>
      </c>
      <c r="N57" s="35">
        <v>201.0</v>
      </c>
      <c r="O57" s="10">
        <v>0.0</v>
      </c>
      <c r="P57" s="33">
        <v>2.0</v>
      </c>
      <c r="Q57" s="33">
        <v>2.0</v>
      </c>
      <c r="R57" s="6"/>
      <c r="S57" s="6"/>
      <c r="T57" s="6"/>
      <c r="U57" s="6"/>
      <c r="V57" s="6"/>
      <c r="W57" s="6"/>
      <c r="X57" s="6"/>
      <c r="Y57" s="6"/>
    </row>
    <row r="58">
      <c r="A58" s="29" t="s">
        <v>63</v>
      </c>
      <c r="B58" s="29">
        <v>25.0</v>
      </c>
      <c r="C58" s="31">
        <v>3024669.0</v>
      </c>
      <c r="D58" s="31">
        <v>1884369.0</v>
      </c>
      <c r="E58" s="31">
        <v>1352744.0</v>
      </c>
      <c r="F58" s="31">
        <v>34695.0</v>
      </c>
      <c r="G58" s="32">
        <v>0.02564786833281094</v>
      </c>
      <c r="H58" s="32">
        <v>0.07398</v>
      </c>
      <c r="I58" s="32">
        <v>0.06729</v>
      </c>
      <c r="J58" s="32">
        <f t="shared" si="1"/>
        <v>0.1062217644</v>
      </c>
      <c r="K58" s="31">
        <v>200161.0</v>
      </c>
      <c r="L58" s="34">
        <v>100080.5</v>
      </c>
      <c r="M58" s="35">
        <v>197111.0</v>
      </c>
      <c r="N58" s="35">
        <v>3050.0</v>
      </c>
      <c r="O58" s="10">
        <v>0.0</v>
      </c>
      <c r="P58" s="33">
        <v>2.0</v>
      </c>
      <c r="Q58" s="33">
        <v>2.0</v>
      </c>
      <c r="R58" s="6"/>
      <c r="S58" s="6"/>
      <c r="T58" s="6"/>
      <c r="U58" s="6"/>
      <c r="V58" s="6"/>
      <c r="W58" s="6"/>
      <c r="X58" s="6"/>
      <c r="Y58" s="6"/>
    </row>
    <row r="59">
      <c r="A59" s="29" t="s">
        <v>59</v>
      </c>
      <c r="B59" s="29">
        <v>25.0</v>
      </c>
      <c r="C59" s="31">
        <v>1020003.0</v>
      </c>
      <c r="D59" s="31">
        <v>635462.0</v>
      </c>
      <c r="E59" s="31">
        <v>451888.0</v>
      </c>
      <c r="F59" s="31">
        <v>-2217.0</v>
      </c>
      <c r="G59" s="32">
        <v>-0.004906082923202209</v>
      </c>
      <c r="H59" s="32">
        <v>0.02222</v>
      </c>
      <c r="I59" s="32">
        <v>0.03098</v>
      </c>
      <c r="J59" s="32">
        <f t="shared" si="1"/>
        <v>0.03160849901</v>
      </c>
      <c r="K59" s="31">
        <v>20086.0</v>
      </c>
      <c r="L59" s="31">
        <v>10043.0</v>
      </c>
      <c r="M59" s="35">
        <v>19715.0</v>
      </c>
      <c r="N59" s="35">
        <v>371.0</v>
      </c>
      <c r="O59" s="10">
        <v>0.0</v>
      </c>
      <c r="P59" s="33">
        <v>2.0</v>
      </c>
      <c r="Q59" s="33">
        <v>2.0</v>
      </c>
      <c r="R59" s="6"/>
      <c r="S59" s="6"/>
      <c r="T59" s="6"/>
      <c r="U59" s="6"/>
      <c r="V59" s="6"/>
      <c r="W59" s="6"/>
      <c r="X59" s="6"/>
      <c r="Y59" s="6"/>
    </row>
    <row r="60">
      <c r="A60" s="29" t="s">
        <v>61</v>
      </c>
      <c r="B60" s="29">
        <v>25.0</v>
      </c>
      <c r="C60" s="31">
        <v>708814.0</v>
      </c>
      <c r="D60" s="31">
        <v>519020.0</v>
      </c>
      <c r="E60" s="31">
        <v>1327168.0</v>
      </c>
      <c r="F60" s="31">
        <v>667.0</v>
      </c>
      <c r="G60" s="32">
        <v>5.025739017215605E-4</v>
      </c>
      <c r="H60" s="32">
        <v>0.01329</v>
      </c>
      <c r="I60" s="32">
        <v>0.08508</v>
      </c>
      <c r="J60" s="32">
        <f t="shared" si="1"/>
        <v>0.1359234712</v>
      </c>
      <c r="K60" s="31">
        <v>70547.0</v>
      </c>
      <c r="L60" s="34">
        <v>17636.75</v>
      </c>
      <c r="M60" s="35">
        <v>70101.0</v>
      </c>
      <c r="N60" s="35">
        <v>446.0</v>
      </c>
      <c r="O60" s="10">
        <v>1.0</v>
      </c>
      <c r="P60" s="33">
        <v>3.0</v>
      </c>
      <c r="Q60" s="33">
        <v>4.0</v>
      </c>
      <c r="R60" s="6"/>
      <c r="S60" s="6"/>
      <c r="T60" s="6"/>
      <c r="U60" s="6"/>
      <c r="V60" s="6"/>
      <c r="W60" s="6"/>
      <c r="X60" s="6"/>
      <c r="Y60" s="6"/>
    </row>
    <row r="61">
      <c r="A61" s="29" t="s">
        <v>67</v>
      </c>
      <c r="B61" s="29">
        <v>25.0</v>
      </c>
      <c r="C61" s="31">
        <v>1946428.0</v>
      </c>
      <c r="D61" s="31">
        <v>1212625.0</v>
      </c>
      <c r="E61" s="31">
        <v>377468.0</v>
      </c>
      <c r="F61" s="31">
        <v>7595.0</v>
      </c>
      <c r="G61" s="32">
        <v>0.02012091091165344</v>
      </c>
      <c r="H61" s="32">
        <v>0.0686</v>
      </c>
      <c r="I61" s="32">
        <v>0.05403</v>
      </c>
      <c r="J61" s="32">
        <f t="shared" si="1"/>
        <v>0.08541469952</v>
      </c>
      <c r="K61" s="31">
        <v>103576.0</v>
      </c>
      <c r="L61" s="31">
        <v>25894.0</v>
      </c>
      <c r="M61" s="35">
        <v>102794.0</v>
      </c>
      <c r="N61" s="35">
        <v>782.0</v>
      </c>
      <c r="O61" s="10">
        <v>0.0</v>
      </c>
      <c r="P61" s="33">
        <v>4.0</v>
      </c>
      <c r="Q61" s="33">
        <v>4.0</v>
      </c>
      <c r="R61" s="6"/>
      <c r="S61" s="6"/>
      <c r="T61" s="6"/>
      <c r="U61" s="6"/>
      <c r="V61" s="6"/>
      <c r="W61" s="6"/>
      <c r="X61" s="6"/>
      <c r="Y61" s="6"/>
    </row>
    <row r="62">
      <c r="A62" s="29" t="s">
        <v>64</v>
      </c>
      <c r="B62" s="29">
        <v>25.0</v>
      </c>
      <c r="C62" s="31">
        <v>1.4780095E7</v>
      </c>
      <c r="D62" s="31">
        <v>9207998.0</v>
      </c>
      <c r="E62" s="31">
        <v>5469002.0</v>
      </c>
      <c r="F62" s="31">
        <v>-873.0</v>
      </c>
      <c r="G62" s="32">
        <v>-1.5962693010534645E-4</v>
      </c>
      <c r="H62" s="32">
        <v>0.01101</v>
      </c>
      <c r="I62" s="32">
        <v>0.02978</v>
      </c>
      <c r="J62" s="32">
        <f t="shared" si="1"/>
        <v>0.04576944956</v>
      </c>
      <c r="K62" s="31">
        <v>421445.0</v>
      </c>
      <c r="L62" s="34">
        <v>60206.429</v>
      </c>
      <c r="M62" s="35">
        <v>414002.0</v>
      </c>
      <c r="N62" s="35">
        <v>7443.0</v>
      </c>
      <c r="O62" s="10">
        <v>0.0</v>
      </c>
      <c r="P62" s="33">
        <v>7.0</v>
      </c>
      <c r="Q62" s="33">
        <v>7.0</v>
      </c>
      <c r="R62" s="45"/>
      <c r="S62" s="45"/>
      <c r="T62" s="45"/>
      <c r="U62" s="6"/>
      <c r="V62" s="6"/>
      <c r="W62" s="6"/>
      <c r="X62" s="6"/>
      <c r="Y62" s="6"/>
    </row>
    <row r="63">
      <c r="A63" s="29" t="s">
        <v>68</v>
      </c>
      <c r="B63" s="29">
        <v>25.0</v>
      </c>
      <c r="C63" s="31">
        <v>864451.0</v>
      </c>
      <c r="D63" s="31">
        <v>538554.0</v>
      </c>
      <c r="E63" s="31">
        <v>646110.0</v>
      </c>
      <c r="F63" s="31">
        <v>-578.0</v>
      </c>
      <c r="G63" s="32">
        <v>-8.94584513472938E-4</v>
      </c>
      <c r="H63" s="32">
        <v>0.01253</v>
      </c>
      <c r="I63" s="32">
        <v>0.01883</v>
      </c>
      <c r="J63" s="32">
        <f t="shared" si="1"/>
        <v>0.0451022553</v>
      </c>
      <c r="K63" s="31">
        <v>24290.0</v>
      </c>
      <c r="L63" s="34">
        <v>8096.667</v>
      </c>
      <c r="M63" s="35">
        <v>24008.0</v>
      </c>
      <c r="N63" s="35">
        <v>282.0</v>
      </c>
      <c r="O63" s="10">
        <v>0.0</v>
      </c>
      <c r="P63" s="33">
        <v>3.0</v>
      </c>
      <c r="Q63" s="33">
        <v>3.0</v>
      </c>
      <c r="R63" s="41"/>
      <c r="S63" s="45"/>
      <c r="T63" s="45"/>
    </row>
    <row r="64">
      <c r="A64" s="29" t="s">
        <v>69</v>
      </c>
      <c r="B64" s="29">
        <v>25.0</v>
      </c>
      <c r="C64" s="31">
        <v>1998315.0</v>
      </c>
      <c r="D64" s="31">
        <v>1244950.0</v>
      </c>
      <c r="E64" s="31">
        <v>1487977.0</v>
      </c>
      <c r="F64" s="31">
        <v>27815.0</v>
      </c>
      <c r="G64" s="32">
        <v>0.018693165284140816</v>
      </c>
      <c r="H64" s="32">
        <v>0.04893</v>
      </c>
      <c r="I64" s="32">
        <v>0.03644</v>
      </c>
      <c r="J64" s="32">
        <f t="shared" si="1"/>
        <v>0.05848668621</v>
      </c>
      <c r="K64" s="31">
        <v>72813.0</v>
      </c>
      <c r="L64" s="31">
        <v>72813.0</v>
      </c>
      <c r="M64" s="35">
        <v>70317.0</v>
      </c>
      <c r="N64" s="35">
        <v>2496.0</v>
      </c>
      <c r="O64" s="10">
        <v>0.0</v>
      </c>
      <c r="P64" s="33">
        <v>1.0</v>
      </c>
      <c r="Q64" s="33">
        <v>1.0</v>
      </c>
      <c r="R64" s="41"/>
      <c r="S64" s="45"/>
      <c r="T64" s="45"/>
    </row>
    <row r="65">
      <c r="A65" s="29" t="s">
        <v>54</v>
      </c>
      <c r="B65" s="29">
        <v>26.0</v>
      </c>
      <c r="C65" s="31">
        <v>952487.0</v>
      </c>
      <c r="D65" s="31">
        <v>593399.0</v>
      </c>
      <c r="E65" s="31">
        <v>552216.0</v>
      </c>
      <c r="F65" s="31">
        <v>2025.0</v>
      </c>
      <c r="G65" s="32">
        <v>0.003667043330870529</v>
      </c>
      <c r="H65" s="32">
        <v>0.00598</v>
      </c>
      <c r="I65" s="32">
        <v>0.01008</v>
      </c>
      <c r="J65" s="32">
        <f t="shared" si="1"/>
        <v>0.01669871368</v>
      </c>
      <c r="K65" s="31">
        <v>9909.0</v>
      </c>
      <c r="L65" s="31">
        <v>3303.0</v>
      </c>
      <c r="M65" s="31">
        <v>9812.0</v>
      </c>
      <c r="N65" s="31">
        <v>97.0</v>
      </c>
      <c r="O65" s="10">
        <v>0.0</v>
      </c>
      <c r="P65" s="31">
        <v>3.0</v>
      </c>
      <c r="Q65" s="31">
        <v>3.0</v>
      </c>
      <c r="R65" s="41"/>
      <c r="S65" s="45"/>
      <c r="T65" s="45"/>
    </row>
    <row r="66">
      <c r="A66" s="29" t="s">
        <v>56</v>
      </c>
      <c r="B66" s="29">
        <v>26.0</v>
      </c>
      <c r="C66" s="31">
        <v>1259321.0</v>
      </c>
      <c r="D66" s="31">
        <v>932104.0</v>
      </c>
      <c r="E66" s="31">
        <v>787758.0</v>
      </c>
      <c r="F66" s="31">
        <v>4203.0</v>
      </c>
      <c r="G66" s="32">
        <v>0.00533539488015355</v>
      </c>
      <c r="H66" s="32">
        <v>0.05054</v>
      </c>
      <c r="I66" s="32">
        <v>0.13731</v>
      </c>
      <c r="J66" s="32">
        <f t="shared" si="1"/>
        <v>0.1708500339</v>
      </c>
      <c r="K66" s="31">
        <v>159250.0</v>
      </c>
      <c r="L66" s="31">
        <v>39812.5</v>
      </c>
      <c r="M66" s="31">
        <v>158925.0</v>
      </c>
      <c r="N66" s="31">
        <v>325.0</v>
      </c>
      <c r="O66" s="10">
        <v>2.0</v>
      </c>
      <c r="P66" s="31">
        <v>2.0</v>
      </c>
      <c r="Q66" s="31">
        <v>4.0</v>
      </c>
      <c r="R66" s="41"/>
      <c r="S66" s="45"/>
      <c r="T66" s="45"/>
    </row>
    <row r="67">
      <c r="A67" s="29" t="s">
        <v>60</v>
      </c>
      <c r="B67" s="29">
        <v>26.0</v>
      </c>
      <c r="C67" s="31">
        <v>611694.0</v>
      </c>
      <c r="D67" s="31">
        <v>396879.0</v>
      </c>
      <c r="E67" s="31">
        <v>623581.0</v>
      </c>
      <c r="F67" s="31">
        <v>447.0</v>
      </c>
      <c r="G67" s="32">
        <v>7.168274851222215E-4</v>
      </c>
      <c r="H67" s="32">
        <v>0.01274</v>
      </c>
      <c r="I67" s="32">
        <v>0.06081</v>
      </c>
      <c r="J67" s="32">
        <f t="shared" si="1"/>
        <v>0.06003089103</v>
      </c>
      <c r="K67" s="31">
        <v>23825.0</v>
      </c>
      <c r="L67" s="31">
        <v>7941.667</v>
      </c>
      <c r="M67" s="31">
        <v>23669.0</v>
      </c>
      <c r="N67" s="31">
        <v>156.0</v>
      </c>
      <c r="O67" s="10">
        <v>1.0</v>
      </c>
      <c r="P67" s="31">
        <v>2.0</v>
      </c>
      <c r="Q67" s="31">
        <v>3.0</v>
      </c>
      <c r="R67" s="41"/>
      <c r="S67" s="45"/>
      <c r="T67" s="45"/>
    </row>
    <row r="68">
      <c r="A68" s="29" t="s">
        <v>63</v>
      </c>
      <c r="B68" s="29">
        <v>26.0</v>
      </c>
      <c r="C68" s="31">
        <v>1982504.0</v>
      </c>
      <c r="D68" s="31">
        <v>1235100.0</v>
      </c>
      <c r="E68" s="31">
        <v>1326225.0</v>
      </c>
      <c r="F68" s="31">
        <v>-26519.0</v>
      </c>
      <c r="G68" s="32">
        <v>-0.01999585289072367</v>
      </c>
      <c r="H68" s="32">
        <v>0.04903</v>
      </c>
      <c r="I68" s="32">
        <v>0.06366</v>
      </c>
      <c r="J68" s="32">
        <f t="shared" si="1"/>
        <v>0.1052878309</v>
      </c>
      <c r="K68" s="31">
        <v>130041.0</v>
      </c>
      <c r="L68" s="31">
        <v>65020.5</v>
      </c>
      <c r="M68" s="31">
        <v>128033.0</v>
      </c>
      <c r="N68" s="31">
        <v>2008.0</v>
      </c>
      <c r="O68" s="10">
        <v>0.0</v>
      </c>
      <c r="P68" s="31">
        <v>2.0</v>
      </c>
      <c r="Q68" s="31">
        <v>2.0</v>
      </c>
      <c r="R68" s="41"/>
      <c r="S68" s="45"/>
      <c r="T68" s="45"/>
    </row>
    <row r="69">
      <c r="A69" s="29" t="s">
        <v>59</v>
      </c>
      <c r="B69" s="29">
        <v>26.0</v>
      </c>
      <c r="C69" s="31">
        <v>708823.0</v>
      </c>
      <c r="D69" s="31">
        <v>441597.0</v>
      </c>
      <c r="E69" s="31">
        <v>454155.0</v>
      </c>
      <c r="F69" s="31">
        <v>2267.0</v>
      </c>
      <c r="G69" s="32">
        <v>0.0049916878598716295</v>
      </c>
      <c r="H69" s="32">
        <v>0.00692</v>
      </c>
      <c r="I69" s="32">
        <v>0.02275</v>
      </c>
      <c r="J69" s="32">
        <f t="shared" si="1"/>
        <v>0.01422564012</v>
      </c>
      <c r="K69" s="31">
        <v>6282.0</v>
      </c>
      <c r="L69" s="31">
        <v>3141.0</v>
      </c>
      <c r="M69" s="31">
        <v>6026.0</v>
      </c>
      <c r="N69" s="31">
        <v>256.0</v>
      </c>
      <c r="O69" s="10">
        <v>0.0</v>
      </c>
      <c r="P69" s="31">
        <v>2.0</v>
      </c>
      <c r="Q69" s="31">
        <v>2.0</v>
      </c>
      <c r="R69" s="41"/>
      <c r="S69" s="45"/>
      <c r="T69" s="45"/>
    </row>
    <row r="70">
      <c r="A70" s="29" t="s">
        <v>61</v>
      </c>
      <c r="B70" s="29">
        <v>26.0</v>
      </c>
      <c r="C70" s="31">
        <v>451381.0</v>
      </c>
      <c r="D70" s="31">
        <v>281211.0</v>
      </c>
      <c r="E70" s="31">
        <v>1328226.0</v>
      </c>
      <c r="F70" s="31">
        <v>1058.0</v>
      </c>
      <c r="G70" s="32">
        <v>7.965511893307314E-4</v>
      </c>
      <c r="H70" s="32">
        <v>0.00595</v>
      </c>
      <c r="I70" s="32">
        <v>0.04147</v>
      </c>
      <c r="J70" s="32">
        <f t="shared" si="1"/>
        <v>0.08427124117</v>
      </c>
      <c r="K70" s="31">
        <v>23698.0</v>
      </c>
      <c r="L70" s="31">
        <v>7899.333</v>
      </c>
      <c r="M70" s="31">
        <v>23557.0</v>
      </c>
      <c r="N70" s="31">
        <v>141.0</v>
      </c>
      <c r="O70" s="10">
        <v>0.0</v>
      </c>
      <c r="P70" s="31">
        <v>3.0</v>
      </c>
      <c r="Q70" s="31">
        <v>3.0</v>
      </c>
      <c r="R70" s="41"/>
      <c r="S70" s="45"/>
      <c r="T70" s="45"/>
    </row>
    <row r="71">
      <c r="A71" s="29" t="s">
        <v>67</v>
      </c>
      <c r="B71" s="29">
        <v>26.0</v>
      </c>
      <c r="C71" s="31">
        <v>1948745.0</v>
      </c>
      <c r="D71" s="31">
        <v>1239752.0</v>
      </c>
      <c r="E71" s="31">
        <v>374215.0</v>
      </c>
      <c r="F71" s="31">
        <v>-3253.0</v>
      </c>
      <c r="G71" s="32">
        <v>-0.008692863728070762</v>
      </c>
      <c r="H71" s="32">
        <v>0.05539</v>
      </c>
      <c r="I71" s="32">
        <v>0.06769</v>
      </c>
      <c r="J71" s="32">
        <f t="shared" si="1"/>
        <v>0.0835949448</v>
      </c>
      <c r="K71" s="31">
        <v>103637.0</v>
      </c>
      <c r="L71" s="31">
        <v>20727.4</v>
      </c>
      <c r="M71" s="31">
        <v>103007.0</v>
      </c>
      <c r="N71" s="31">
        <v>630.0</v>
      </c>
      <c r="O71" s="10">
        <v>1.0</v>
      </c>
      <c r="P71" s="31">
        <v>4.0</v>
      </c>
      <c r="Q71" s="31">
        <v>5.0</v>
      </c>
      <c r="R71" s="41"/>
      <c r="S71" s="45"/>
      <c r="T71" s="45"/>
    </row>
    <row r="72">
      <c r="A72" s="29" t="s">
        <v>64</v>
      </c>
      <c r="B72" s="29">
        <v>26.0</v>
      </c>
      <c r="C72" s="31">
        <v>1.3456906E7</v>
      </c>
      <c r="D72" s="31">
        <v>8383652.0</v>
      </c>
      <c r="E72" s="31">
        <v>5480118.0</v>
      </c>
      <c r="F72" s="31">
        <v>11116.0</v>
      </c>
      <c r="G72" s="32">
        <v>0.002028423475552899</v>
      </c>
      <c r="H72" s="32">
        <v>0.0174</v>
      </c>
      <c r="I72" s="32">
        <v>0.03467</v>
      </c>
      <c r="J72" s="32">
        <f t="shared" si="1"/>
        <v>0.07960707339</v>
      </c>
      <c r="K72" s="31">
        <v>667398.0</v>
      </c>
      <c r="L72" s="31">
        <v>95342.571</v>
      </c>
      <c r="M72" s="31">
        <v>657591.0</v>
      </c>
      <c r="N72" s="31">
        <v>9807.0</v>
      </c>
      <c r="O72" s="10">
        <v>0.0</v>
      </c>
      <c r="P72" s="31">
        <v>7.0</v>
      </c>
      <c r="Q72" s="31">
        <v>7.0</v>
      </c>
      <c r="R72" s="41"/>
      <c r="S72" s="45"/>
      <c r="T72" s="45"/>
    </row>
    <row r="73">
      <c r="A73" s="29" t="s">
        <v>68</v>
      </c>
      <c r="B73" s="29">
        <v>26.0</v>
      </c>
      <c r="C73" s="31">
        <v>737991.0</v>
      </c>
      <c r="D73" s="31">
        <v>459769.0</v>
      </c>
      <c r="E73" s="31">
        <v>645069.0</v>
      </c>
      <c r="F73" s="31">
        <v>-1041.0</v>
      </c>
      <c r="G73" s="32">
        <v>-0.0016137808513507856</v>
      </c>
      <c r="H73" s="32">
        <v>0.00884</v>
      </c>
      <c r="I73" s="32">
        <v>0.02703</v>
      </c>
      <c r="J73" s="32">
        <f t="shared" si="1"/>
        <v>0.04959882028</v>
      </c>
      <c r="K73" s="31">
        <v>22804.0</v>
      </c>
      <c r="L73" s="31">
        <v>5701.0</v>
      </c>
      <c r="M73" s="31">
        <v>22577.0</v>
      </c>
      <c r="N73" s="31">
        <v>227.0</v>
      </c>
      <c r="O73" s="10">
        <v>0.0</v>
      </c>
      <c r="P73" s="31">
        <v>4.0</v>
      </c>
      <c r="Q73" s="31">
        <v>4.0</v>
      </c>
    </row>
    <row r="74">
      <c r="A74" s="29" t="s">
        <v>69</v>
      </c>
      <c r="B74" s="29">
        <v>26.0</v>
      </c>
      <c r="C74" s="31">
        <v>8854027.0</v>
      </c>
      <c r="D74" s="31">
        <v>5516058.0</v>
      </c>
      <c r="E74" s="31">
        <v>1466914.0</v>
      </c>
      <c r="F74" s="31">
        <v>-21063.0</v>
      </c>
      <c r="G74" s="32">
        <v>-0.014358714962158655</v>
      </c>
      <c r="H74" s="32">
        <v>0.05748</v>
      </c>
      <c r="I74" s="32">
        <v>0.03836</v>
      </c>
      <c r="J74" s="32">
        <f t="shared" si="1"/>
        <v>0.06114257682</v>
      </c>
      <c r="K74" s="31">
        <v>337266.0</v>
      </c>
      <c r="L74" s="31">
        <v>84316.5</v>
      </c>
      <c r="M74" s="31">
        <v>325372.0</v>
      </c>
      <c r="N74" s="31">
        <v>11894.0</v>
      </c>
      <c r="O74" s="10">
        <v>0.0</v>
      </c>
      <c r="P74" s="31">
        <v>4.0</v>
      </c>
      <c r="Q74" s="31">
        <v>4.0</v>
      </c>
      <c r="R74" s="31"/>
      <c r="S74" s="31"/>
    </row>
    <row r="75">
      <c r="A75" s="29" t="s">
        <v>54</v>
      </c>
      <c r="B75" s="29">
        <v>27.0</v>
      </c>
      <c r="C75" s="31">
        <v>1349346.0</v>
      </c>
      <c r="D75" s="31">
        <v>977621.0</v>
      </c>
      <c r="E75" s="31">
        <v>553405.0</v>
      </c>
      <c r="F75" s="31">
        <v>1189.0</v>
      </c>
      <c r="G75" s="32">
        <v>0.002148516908954563</v>
      </c>
      <c r="H75" s="32">
        <v>0.08543</v>
      </c>
      <c r="I75" s="32">
        <v>0.17317</v>
      </c>
      <c r="J75" s="32">
        <f t="shared" si="1"/>
        <v>0.1450828082</v>
      </c>
      <c r="K75" s="31">
        <v>141836.0</v>
      </c>
      <c r="L75" s="34">
        <v>47278.667</v>
      </c>
      <c r="M75" s="31">
        <v>138870.0</v>
      </c>
      <c r="N75" s="31">
        <v>2966.0</v>
      </c>
      <c r="O75" s="37">
        <v>2.0</v>
      </c>
      <c r="P75" s="33">
        <v>1.0</v>
      </c>
      <c r="Q75" s="33">
        <v>3.0</v>
      </c>
      <c r="S75" s="31"/>
    </row>
    <row r="76">
      <c r="A76" s="29" t="s">
        <v>56</v>
      </c>
      <c r="B76" s="29">
        <v>27.0</v>
      </c>
      <c r="C76" s="31">
        <v>1266081.0</v>
      </c>
      <c r="D76" s="31">
        <v>953388.0</v>
      </c>
      <c r="E76" s="31">
        <v>787679.0</v>
      </c>
      <c r="F76" s="31">
        <v>-79.0</v>
      </c>
      <c r="G76" s="32">
        <v>-1.0029466318132133E-4</v>
      </c>
      <c r="H76" s="32">
        <v>0.04177</v>
      </c>
      <c r="I76" s="32">
        <v>0.14651</v>
      </c>
      <c r="J76" s="32">
        <f t="shared" si="1"/>
        <v>0.138031945</v>
      </c>
      <c r="K76" s="31">
        <v>131598.0</v>
      </c>
      <c r="L76" s="34">
        <v>32899.5</v>
      </c>
      <c r="M76" s="31">
        <v>131361.0</v>
      </c>
      <c r="N76" s="33">
        <v>237.0</v>
      </c>
      <c r="O76" s="37">
        <v>3.0</v>
      </c>
      <c r="P76" s="33">
        <v>1.0</v>
      </c>
      <c r="Q76" s="33">
        <v>4.0</v>
      </c>
      <c r="S76" s="31"/>
      <c r="T76" s="31"/>
      <c r="U76" s="31"/>
    </row>
    <row r="77">
      <c r="A77" s="29" t="s">
        <v>60</v>
      </c>
      <c r="B77" s="29">
        <v>27.0</v>
      </c>
      <c r="C77" s="31">
        <v>862750.0</v>
      </c>
      <c r="D77" s="31">
        <v>537493.0</v>
      </c>
      <c r="E77" s="31">
        <v>624714.0</v>
      </c>
      <c r="F77" s="31">
        <v>1133.0</v>
      </c>
      <c r="G77" s="32">
        <v>0.001813629917050042</v>
      </c>
      <c r="H77" s="32">
        <v>0.06712</v>
      </c>
      <c r="I77" s="32">
        <v>0.0486</v>
      </c>
      <c r="J77" s="32">
        <f t="shared" si="1"/>
        <v>0.07801589974</v>
      </c>
      <c r="K77" s="31">
        <v>41933.0</v>
      </c>
      <c r="L77" s="31">
        <v>41933.0</v>
      </c>
      <c r="M77" s="31">
        <v>41607.0</v>
      </c>
      <c r="N77" s="33">
        <v>326.0</v>
      </c>
      <c r="O77" s="37">
        <v>0.0</v>
      </c>
      <c r="P77" s="33">
        <v>1.0</v>
      </c>
      <c r="Q77" s="33">
        <v>1.0</v>
      </c>
      <c r="S77" s="31"/>
      <c r="T77" s="31"/>
      <c r="U77" s="31"/>
    </row>
    <row r="78">
      <c r="A78" s="29" t="s">
        <v>63</v>
      </c>
      <c r="B78" s="29">
        <v>27.0</v>
      </c>
      <c r="C78" s="31">
        <v>2998407.0</v>
      </c>
      <c r="D78" s="31">
        <v>1868008.0</v>
      </c>
      <c r="E78" s="31">
        <v>1352565.0</v>
      </c>
      <c r="F78" s="31">
        <v>26340.0</v>
      </c>
      <c r="G78" s="32">
        <v>0.01947411030153819</v>
      </c>
      <c r="H78" s="32">
        <v>0.08246</v>
      </c>
      <c r="I78" s="32">
        <v>0.074</v>
      </c>
      <c r="J78" s="32">
        <f t="shared" si="1"/>
        <v>0.1194063409</v>
      </c>
      <c r="K78" s="31">
        <v>223052.0</v>
      </c>
      <c r="L78" s="31">
        <v>111526.0</v>
      </c>
      <c r="M78" s="35">
        <v>217806.0</v>
      </c>
      <c r="N78" s="35">
        <v>5246.0</v>
      </c>
      <c r="O78" s="37">
        <v>0.0</v>
      </c>
      <c r="P78" s="33">
        <v>2.0</v>
      </c>
      <c r="Q78" s="33">
        <v>2.0</v>
      </c>
      <c r="S78" s="31"/>
      <c r="T78" s="31"/>
      <c r="U78" s="31"/>
    </row>
    <row r="79">
      <c r="A79" s="29" t="s">
        <v>59</v>
      </c>
      <c r="B79" s="29">
        <v>27.0</v>
      </c>
      <c r="C79" s="31">
        <v>2102200.0</v>
      </c>
      <c r="D79" s="31">
        <v>1309671.0</v>
      </c>
      <c r="E79" s="31">
        <v>454263.0</v>
      </c>
      <c r="F79" s="31">
        <v>108.0</v>
      </c>
      <c r="G79" s="32">
        <v>2.3774773644342595E-4</v>
      </c>
      <c r="H79" s="32">
        <v>0.05299</v>
      </c>
      <c r="I79" s="32">
        <v>0.01145</v>
      </c>
      <c r="J79" s="32">
        <f t="shared" si="1"/>
        <v>0.01838018861</v>
      </c>
      <c r="K79" s="31">
        <v>24072.0</v>
      </c>
      <c r="L79" s="31">
        <v>24072.0</v>
      </c>
      <c r="M79" s="35">
        <v>23223.0</v>
      </c>
      <c r="N79" s="35">
        <v>849.0</v>
      </c>
      <c r="O79" s="37">
        <v>0.0</v>
      </c>
      <c r="P79" s="33">
        <v>1.0</v>
      </c>
      <c r="Q79" s="33">
        <v>1.0</v>
      </c>
      <c r="S79" s="31"/>
      <c r="T79" s="31"/>
      <c r="U79" s="31"/>
    </row>
    <row r="80">
      <c r="A80" s="29" t="s">
        <v>61</v>
      </c>
      <c r="B80" s="29">
        <v>27.0</v>
      </c>
      <c r="C80" s="31">
        <v>2498261.0</v>
      </c>
      <c r="D80" s="31">
        <v>1556416.0</v>
      </c>
      <c r="E80" s="31">
        <v>1331018.0</v>
      </c>
      <c r="F80" s="31">
        <v>2792.0</v>
      </c>
      <c r="G80" s="32">
        <v>0.002097642556299013</v>
      </c>
      <c r="H80" s="32">
        <v>0.02745</v>
      </c>
      <c r="I80" s="32">
        <v>0.06125</v>
      </c>
      <c r="J80" s="32">
        <f t="shared" si="1"/>
        <v>0.09389006538</v>
      </c>
      <c r="K80" s="31">
        <v>146132.0</v>
      </c>
      <c r="L80" s="31">
        <v>36533.0</v>
      </c>
      <c r="M80" s="35">
        <v>145489.0</v>
      </c>
      <c r="N80" s="35">
        <v>643.0</v>
      </c>
      <c r="O80" s="37">
        <v>0.0</v>
      </c>
      <c r="P80" s="33">
        <v>4.0</v>
      </c>
      <c r="Q80" s="33">
        <v>4.0</v>
      </c>
      <c r="S80" s="31"/>
      <c r="T80" s="31"/>
      <c r="U80" s="31"/>
    </row>
    <row r="81">
      <c r="A81" s="29" t="s">
        <v>67</v>
      </c>
      <c r="B81" s="29">
        <v>27.0</v>
      </c>
      <c r="C81" s="31">
        <v>1431196.0</v>
      </c>
      <c r="D81" s="31">
        <v>891635.0</v>
      </c>
      <c r="E81" s="31">
        <v>377662.0</v>
      </c>
      <c r="F81" s="31">
        <v>3447.0</v>
      </c>
      <c r="G81" s="32">
        <v>0.00912720898581271</v>
      </c>
      <c r="H81" s="32">
        <v>0.0936</v>
      </c>
      <c r="I81" s="32">
        <v>0.07203</v>
      </c>
      <c r="J81" s="32">
        <f t="shared" si="1"/>
        <v>0.1189309527</v>
      </c>
      <c r="K81" s="31">
        <v>106043.0</v>
      </c>
      <c r="L81" s="34">
        <v>35347.667</v>
      </c>
      <c r="M81" s="35">
        <v>105424.0</v>
      </c>
      <c r="N81" s="35">
        <v>619.0</v>
      </c>
      <c r="O81" s="37">
        <v>0.0</v>
      </c>
      <c r="P81" s="33">
        <v>3.0</v>
      </c>
      <c r="Q81" s="33">
        <v>3.0</v>
      </c>
      <c r="S81" s="31"/>
      <c r="T81" s="31"/>
      <c r="U81" s="31"/>
    </row>
    <row r="82">
      <c r="A82" s="29" t="s">
        <v>64</v>
      </c>
      <c r="B82" s="29">
        <v>27.0</v>
      </c>
      <c r="C82" s="31">
        <v>1.085557E7</v>
      </c>
      <c r="D82" s="31">
        <v>6763021.0</v>
      </c>
      <c r="E82" s="31">
        <v>5482370.0</v>
      </c>
      <c r="F82" s="31">
        <v>2252.0</v>
      </c>
      <c r="G82" s="32">
        <v>4.1077125403794345E-4</v>
      </c>
      <c r="H82" s="32">
        <v>0.00958</v>
      </c>
      <c r="I82" s="32">
        <v>0.0323</v>
      </c>
      <c r="J82" s="32">
        <f t="shared" si="1"/>
        <v>0.05434982384</v>
      </c>
      <c r="K82" s="31">
        <v>367569.0</v>
      </c>
      <c r="L82" s="34">
        <v>52509.857</v>
      </c>
      <c r="M82" s="35">
        <v>361742.0</v>
      </c>
      <c r="N82" s="35">
        <v>5827.0</v>
      </c>
      <c r="O82" s="37">
        <v>0.0</v>
      </c>
      <c r="P82" s="33">
        <v>7.0</v>
      </c>
      <c r="Q82" s="33">
        <v>7.0</v>
      </c>
      <c r="S82" s="31"/>
      <c r="T82" s="31"/>
      <c r="U82" s="31"/>
    </row>
    <row r="83">
      <c r="A83" s="29" t="s">
        <v>68</v>
      </c>
      <c r="B83" s="29">
        <v>27.0</v>
      </c>
      <c r="C83" s="31">
        <v>2316728.0</v>
      </c>
      <c r="D83" s="31">
        <v>1443320.0</v>
      </c>
      <c r="E83" s="31">
        <v>644117.0</v>
      </c>
      <c r="F83" s="31">
        <v>-952.0</v>
      </c>
      <c r="G83" s="32">
        <v>-0.0014779923523210844</v>
      </c>
      <c r="H83" s="32">
        <v>0.009</v>
      </c>
      <c r="I83" s="32">
        <v>0.02188</v>
      </c>
      <c r="J83" s="32">
        <f t="shared" si="1"/>
        <v>0.0441683064</v>
      </c>
      <c r="K83" s="31">
        <v>63749.0</v>
      </c>
      <c r="L83" s="34">
        <v>5795.364</v>
      </c>
      <c r="M83" s="35">
        <v>63442.0</v>
      </c>
      <c r="N83" s="35">
        <v>307.0</v>
      </c>
      <c r="O83" s="37">
        <v>0.0</v>
      </c>
      <c r="P83" s="33">
        <v>11.0</v>
      </c>
      <c r="Q83" s="33">
        <v>11.0</v>
      </c>
      <c r="S83" s="31"/>
      <c r="T83" s="31"/>
      <c r="U83" s="31"/>
    </row>
    <row r="84">
      <c r="A84" s="29" t="s">
        <v>69</v>
      </c>
      <c r="B84" s="29">
        <v>27.0</v>
      </c>
      <c r="C84" s="31">
        <v>1.411555E7</v>
      </c>
      <c r="D84" s="31">
        <v>9014670.0</v>
      </c>
      <c r="E84" s="31">
        <v>1488808.0</v>
      </c>
      <c r="F84" s="31">
        <v>21894.0</v>
      </c>
      <c r="G84" s="32">
        <v>0.014705724310992417</v>
      </c>
      <c r="H84" s="32">
        <v>0.12914</v>
      </c>
      <c r="I84" s="32">
        <v>0.07879</v>
      </c>
      <c r="J84" s="32">
        <f t="shared" si="1"/>
        <v>0.1066423951</v>
      </c>
      <c r="K84" s="31">
        <v>961346.0</v>
      </c>
      <c r="L84" s="34">
        <v>192269.2</v>
      </c>
      <c r="M84" s="35">
        <v>917130.0</v>
      </c>
      <c r="N84" s="35">
        <v>44216.0</v>
      </c>
      <c r="O84" s="37">
        <v>1.0</v>
      </c>
      <c r="P84" s="33">
        <v>4.0</v>
      </c>
      <c r="Q84" s="33">
        <v>5.0</v>
      </c>
      <c r="S84" s="31"/>
      <c r="T84" s="31"/>
      <c r="U84" s="31"/>
    </row>
    <row r="85">
      <c r="A85" s="29" t="s">
        <v>54</v>
      </c>
      <c r="B85" s="29">
        <v>28.0</v>
      </c>
      <c r="C85" s="31">
        <v>1805265.0</v>
      </c>
      <c r="D85" s="31">
        <v>1124680.0</v>
      </c>
      <c r="E85" s="31">
        <v>553514.0</v>
      </c>
      <c r="F85" s="31">
        <v>109.0</v>
      </c>
      <c r="G85" s="32">
        <v>1.969236550475688E-4</v>
      </c>
      <c r="H85" s="32">
        <v>0.04897</v>
      </c>
      <c r="I85" s="38">
        <v>0.03526</v>
      </c>
      <c r="J85" s="32">
        <f t="shared" si="1"/>
        <v>0.04819859871</v>
      </c>
      <c r="K85" s="31">
        <v>54208.0</v>
      </c>
      <c r="L85" s="41">
        <v>27104.0</v>
      </c>
      <c r="M85" s="35">
        <v>53597.0</v>
      </c>
      <c r="N85" s="35">
        <v>611.0</v>
      </c>
      <c r="O85" s="37">
        <v>0.0</v>
      </c>
      <c r="P85" s="33">
        <v>2.0</v>
      </c>
      <c r="Q85" s="33">
        <v>2.0</v>
      </c>
      <c r="S85" s="31"/>
      <c r="T85" s="31"/>
      <c r="U85" s="31"/>
    </row>
    <row r="86">
      <c r="A86" s="29" t="s">
        <v>56</v>
      </c>
      <c r="B86" s="29">
        <v>28.0</v>
      </c>
      <c r="C86" s="31">
        <v>4807254.0</v>
      </c>
      <c r="D86" s="31">
        <v>4083598.0</v>
      </c>
      <c r="E86" s="31">
        <v>787101.0</v>
      </c>
      <c r="F86" s="31">
        <v>-578.0</v>
      </c>
      <c r="G86" s="32">
        <v>-7.343403197302506E-4</v>
      </c>
      <c r="H86" s="32">
        <v>0.02147</v>
      </c>
      <c r="I86" s="38">
        <v>0.01994</v>
      </c>
      <c r="J86" s="32">
        <f t="shared" si="1"/>
        <v>0.02069327098</v>
      </c>
      <c r="K86" s="31">
        <v>84503.0</v>
      </c>
      <c r="L86" s="43">
        <v>16900.6</v>
      </c>
      <c r="M86" s="35">
        <v>84322.0</v>
      </c>
      <c r="N86" s="35">
        <v>181.0</v>
      </c>
      <c r="O86" s="37">
        <v>2.0</v>
      </c>
      <c r="P86" s="33">
        <v>3.0</v>
      </c>
      <c r="Q86" s="33">
        <v>5.0</v>
      </c>
      <c r="S86" s="31"/>
      <c r="T86" s="31"/>
      <c r="U86" s="31"/>
    </row>
    <row r="87">
      <c r="A87" s="29" t="s">
        <v>60</v>
      </c>
      <c r="B87" s="29">
        <v>28.0</v>
      </c>
      <c r="C87" s="31">
        <v>1359519.0</v>
      </c>
      <c r="D87" s="31">
        <v>846980.0</v>
      </c>
      <c r="E87" s="31">
        <v>625950.0</v>
      </c>
      <c r="F87" s="31">
        <v>1236.0</v>
      </c>
      <c r="G87" s="32">
        <v>0.001974598610112629</v>
      </c>
      <c r="H87" s="32">
        <v>0.04278</v>
      </c>
      <c r="I87" s="38">
        <v>0.0389</v>
      </c>
      <c r="J87" s="32">
        <f t="shared" si="1"/>
        <v>0.06323289806</v>
      </c>
      <c r="K87" s="31">
        <v>53557.0</v>
      </c>
      <c r="L87" s="43">
        <v>26778.5</v>
      </c>
      <c r="M87" s="35">
        <v>53226.0</v>
      </c>
      <c r="N87" s="35">
        <v>331.0</v>
      </c>
      <c r="O87" s="37">
        <v>0.0</v>
      </c>
      <c r="P87" s="33">
        <v>2.0</v>
      </c>
      <c r="Q87" s="33">
        <v>2.0</v>
      </c>
      <c r="S87" s="31"/>
      <c r="T87" s="31"/>
      <c r="U87" s="31"/>
    </row>
    <row r="88">
      <c r="A88" s="29" t="s">
        <v>63</v>
      </c>
      <c r="B88" s="29">
        <v>28.0</v>
      </c>
      <c r="C88" s="31">
        <v>3083258.0</v>
      </c>
      <c r="D88" s="31">
        <v>1920870.0</v>
      </c>
      <c r="E88" s="31">
        <v>1358857.0</v>
      </c>
      <c r="F88" s="31">
        <v>6292.0</v>
      </c>
      <c r="G88" s="32">
        <v>0.004630362135235717</v>
      </c>
      <c r="H88" s="32">
        <v>0.07574</v>
      </c>
      <c r="I88" s="38">
        <v>0.06845</v>
      </c>
      <c r="J88" s="32">
        <f t="shared" si="1"/>
        <v>0.1071587354</v>
      </c>
      <c r="K88" s="31">
        <v>205838.0</v>
      </c>
      <c r="L88" s="41">
        <v>102919.0</v>
      </c>
      <c r="M88" s="35">
        <v>201531.0</v>
      </c>
      <c r="N88" s="35">
        <v>4307.0</v>
      </c>
      <c r="O88" s="37">
        <v>0.0</v>
      </c>
      <c r="P88" s="33">
        <v>2.0</v>
      </c>
      <c r="Q88" s="33">
        <v>2.0</v>
      </c>
      <c r="S88" s="31"/>
      <c r="T88" s="31"/>
      <c r="U88" s="31"/>
    </row>
    <row r="89">
      <c r="A89" s="29" t="s">
        <v>59</v>
      </c>
      <c r="B89" s="29">
        <v>28.0</v>
      </c>
      <c r="C89" s="31">
        <v>765857.0</v>
      </c>
      <c r="D89" s="31">
        <v>477129.0</v>
      </c>
      <c r="E89" s="31">
        <v>453935.0</v>
      </c>
      <c r="F89" s="31">
        <v>-328.0</v>
      </c>
      <c r="G89" s="32">
        <v>-7.225704120634012E-4</v>
      </c>
      <c r="H89" s="32">
        <v>0.01335</v>
      </c>
      <c r="I89" s="38">
        <v>0.02186</v>
      </c>
      <c r="J89" s="32">
        <f t="shared" si="1"/>
        <v>0.02540403119</v>
      </c>
      <c r="K89" s="31">
        <v>12121.0</v>
      </c>
      <c r="L89" s="43">
        <v>6060.5</v>
      </c>
      <c r="M89" s="35">
        <v>11727.0</v>
      </c>
      <c r="N89" s="35">
        <v>394.0</v>
      </c>
      <c r="O89" s="37">
        <v>0.0</v>
      </c>
      <c r="P89" s="33">
        <v>2.0</v>
      </c>
      <c r="Q89" s="33">
        <v>2.0</v>
      </c>
      <c r="S89" s="31"/>
      <c r="T89" s="31"/>
      <c r="U89" s="31"/>
    </row>
    <row r="90">
      <c r="A90" s="29" t="s">
        <v>61</v>
      </c>
      <c r="B90" s="29">
        <v>28.0</v>
      </c>
      <c r="C90" s="31">
        <v>1351120.0</v>
      </c>
      <c r="D90" s="31">
        <v>957729.0</v>
      </c>
      <c r="E90" s="31">
        <v>1333168.0</v>
      </c>
      <c r="F90" s="31">
        <v>2150.0</v>
      </c>
      <c r="G90" s="32">
        <v>0.0016126999747968747</v>
      </c>
      <c r="H90" s="32">
        <v>0.02364</v>
      </c>
      <c r="I90" s="38">
        <v>0.07075</v>
      </c>
      <c r="J90" s="32">
        <f t="shared" si="1"/>
        <v>0.09870641904</v>
      </c>
      <c r="K90" s="31">
        <v>94534.0</v>
      </c>
      <c r="L90" s="43">
        <v>31511.333</v>
      </c>
      <c r="M90" s="35">
        <v>93405.0</v>
      </c>
      <c r="N90" s="35">
        <v>1129.0</v>
      </c>
      <c r="O90" s="37">
        <v>1.0</v>
      </c>
      <c r="P90" s="33">
        <v>2.0</v>
      </c>
      <c r="Q90" s="33">
        <v>3.0</v>
      </c>
      <c r="S90" s="31"/>
      <c r="T90" s="31"/>
      <c r="U90" s="31"/>
    </row>
    <row r="91">
      <c r="A91" s="29" t="s">
        <v>67</v>
      </c>
      <c r="B91" s="29">
        <v>28.0</v>
      </c>
      <c r="C91" s="31">
        <v>674614.0</v>
      </c>
      <c r="D91" s="31">
        <v>420284.0</v>
      </c>
      <c r="E91" s="31">
        <v>379175.0</v>
      </c>
      <c r="F91" s="31">
        <v>1513.0</v>
      </c>
      <c r="G91" s="32">
        <v>0.003990241972703897</v>
      </c>
      <c r="H91" s="32">
        <v>0.05818</v>
      </c>
      <c r="I91" s="38">
        <v>0.06577</v>
      </c>
      <c r="J91" s="32">
        <f t="shared" si="1"/>
        <v>0.1049718762</v>
      </c>
      <c r="K91" s="31">
        <v>44118.0</v>
      </c>
      <c r="L91" s="41">
        <v>22059.0</v>
      </c>
      <c r="M91" s="35">
        <v>43982.0</v>
      </c>
      <c r="N91" s="35">
        <v>136.0</v>
      </c>
      <c r="O91" s="37">
        <v>0.0</v>
      </c>
      <c r="P91" s="33">
        <v>2.0</v>
      </c>
      <c r="Q91" s="33">
        <v>2.0</v>
      </c>
      <c r="S91" s="31"/>
      <c r="T91" s="31"/>
      <c r="U91" s="31"/>
    </row>
    <row r="92">
      <c r="A92" s="29" t="s">
        <v>64</v>
      </c>
      <c r="B92" s="29">
        <v>28.0</v>
      </c>
      <c r="C92" s="31">
        <v>1.9390429E7</v>
      </c>
      <c r="D92" s="31">
        <v>1.2080237E7</v>
      </c>
      <c r="E92" s="31">
        <v>5482334.0</v>
      </c>
      <c r="F92" s="31">
        <v>-36.0</v>
      </c>
      <c r="G92" s="32">
        <v>-6.566546292144915E-6</v>
      </c>
      <c r="H92" s="32">
        <v>0.01988</v>
      </c>
      <c r="I92" s="38">
        <v>0.03391</v>
      </c>
      <c r="J92" s="32">
        <f t="shared" si="1"/>
        <v>0.06316738653</v>
      </c>
      <c r="K92" s="31">
        <v>763077.0</v>
      </c>
      <c r="L92" s="41">
        <v>109011.0</v>
      </c>
      <c r="M92" s="35">
        <v>750354.0</v>
      </c>
      <c r="N92" s="35">
        <v>12723.0</v>
      </c>
      <c r="O92" s="37">
        <v>0.0</v>
      </c>
      <c r="P92" s="33">
        <v>7.0</v>
      </c>
      <c r="Q92" s="33">
        <v>7.0</v>
      </c>
      <c r="S92" s="31"/>
      <c r="T92" s="31"/>
      <c r="U92" s="31"/>
    </row>
    <row r="93">
      <c r="A93" s="29" t="s">
        <v>68</v>
      </c>
      <c r="B93" s="29">
        <v>28.0</v>
      </c>
      <c r="C93" s="31">
        <v>730908.0</v>
      </c>
      <c r="D93" s="31">
        <v>664462.0</v>
      </c>
      <c r="E93" s="31">
        <v>644070.0</v>
      </c>
      <c r="F93" s="31">
        <v>-47.0</v>
      </c>
      <c r="G93" s="32">
        <v>-7.297343456456597E-5</v>
      </c>
      <c r="H93" s="32">
        <v>0.01723</v>
      </c>
      <c r="I93" s="38">
        <v>0.01518</v>
      </c>
      <c r="J93" s="32">
        <f t="shared" si="1"/>
        <v>0.01669771936</v>
      </c>
      <c r="K93" s="31">
        <v>11095.0</v>
      </c>
      <c r="L93" s="41">
        <v>11095.0</v>
      </c>
      <c r="M93" s="35">
        <v>11071.0</v>
      </c>
      <c r="N93" s="35">
        <v>24.0</v>
      </c>
      <c r="O93" s="37">
        <v>1.0</v>
      </c>
      <c r="P93" s="33">
        <v>0.0</v>
      </c>
      <c r="Q93" s="33">
        <v>1.0</v>
      </c>
    </row>
    <row r="94">
      <c r="A94" s="29" t="s">
        <v>69</v>
      </c>
      <c r="B94" s="29">
        <v>28.0</v>
      </c>
      <c r="C94" s="31">
        <v>2547527.0</v>
      </c>
      <c r="D94" s="31">
        <v>1587109.0</v>
      </c>
      <c r="E94" s="31">
        <v>1494701.0</v>
      </c>
      <c r="F94" s="31">
        <v>5893.0</v>
      </c>
      <c r="G94" s="32">
        <v>0.003942594538974685</v>
      </c>
      <c r="H94" s="32">
        <v>0.08866</v>
      </c>
      <c r="I94" s="38">
        <v>0.05202</v>
      </c>
      <c r="J94" s="32">
        <f t="shared" si="1"/>
        <v>0.08349332024</v>
      </c>
      <c r="K94" s="31">
        <v>132513.0</v>
      </c>
      <c r="L94" s="41">
        <v>132513.0</v>
      </c>
      <c r="M94" s="35">
        <v>129618.0</v>
      </c>
      <c r="N94" s="35">
        <v>2895.0</v>
      </c>
      <c r="O94" s="37">
        <v>0.0</v>
      </c>
      <c r="P94" s="33">
        <v>1.0</v>
      </c>
      <c r="Q94" s="33">
        <v>1.0</v>
      </c>
    </row>
    <row r="95">
      <c r="A95" s="29" t="s">
        <v>54</v>
      </c>
      <c r="B95" s="29">
        <v>29.0</v>
      </c>
      <c r="C95" s="31">
        <v>2470150.0</v>
      </c>
      <c r="D95" s="31">
        <v>2245591.0</v>
      </c>
      <c r="E95" s="31">
        <v>553767.0</v>
      </c>
      <c r="F95" s="31">
        <v>253.0</v>
      </c>
      <c r="G95" s="32">
        <v>4.568708500145368E-4</v>
      </c>
      <c r="H95" s="32">
        <v>0.04164</v>
      </c>
      <c r="I95" s="32">
        <v>0.01992</v>
      </c>
      <c r="J95" s="32">
        <f t="shared" si="1"/>
        <v>0.02053757786</v>
      </c>
      <c r="K95" s="31">
        <v>46119.0</v>
      </c>
      <c r="L95" s="31">
        <v>23059.5</v>
      </c>
      <c r="M95" s="35">
        <v>45797.0</v>
      </c>
      <c r="N95" s="33">
        <v>322.0</v>
      </c>
      <c r="O95" s="10">
        <v>2.0</v>
      </c>
      <c r="P95" s="35">
        <v>0.0</v>
      </c>
      <c r="Q95" s="33">
        <v>2.0</v>
      </c>
    </row>
    <row r="96">
      <c r="A96" s="29" t="s">
        <v>56</v>
      </c>
      <c r="B96" s="29">
        <v>29.0</v>
      </c>
      <c r="C96" s="31">
        <v>6936076.0</v>
      </c>
      <c r="D96" s="31">
        <v>6066649.0</v>
      </c>
      <c r="E96" s="31">
        <v>785655.0</v>
      </c>
      <c r="F96" s="31">
        <v>-1446.0</v>
      </c>
      <c r="G96" s="32">
        <v>-0.001840502510643985</v>
      </c>
      <c r="H96" s="32">
        <v>0.03566</v>
      </c>
      <c r="I96" s="32">
        <v>0.02416</v>
      </c>
      <c r="J96" s="32">
        <f t="shared" si="1"/>
        <v>0.02309133098</v>
      </c>
      <c r="K96" s="31">
        <v>140087.0</v>
      </c>
      <c r="L96" s="31">
        <v>28017.4</v>
      </c>
      <c r="M96" s="35">
        <v>139852.0</v>
      </c>
      <c r="N96" s="33">
        <v>235.0</v>
      </c>
      <c r="O96" s="10">
        <v>3.0</v>
      </c>
      <c r="P96" s="35">
        <v>2.0</v>
      </c>
      <c r="Q96" s="33">
        <v>5.0</v>
      </c>
    </row>
    <row r="97">
      <c r="A97" s="29" t="s">
        <v>60</v>
      </c>
      <c r="B97" s="29">
        <v>29.0</v>
      </c>
      <c r="C97" s="31">
        <v>260615.0</v>
      </c>
      <c r="D97" s="31">
        <v>162363.0</v>
      </c>
      <c r="E97" s="31">
        <v>626447.0</v>
      </c>
      <c r="F97" s="31">
        <v>497.0</v>
      </c>
      <c r="G97" s="32">
        <v>7.933632055066111E-4</v>
      </c>
      <c r="H97" s="32">
        <v>0.01615</v>
      </c>
      <c r="I97" s="32">
        <v>0.03883</v>
      </c>
      <c r="J97" s="32">
        <f t="shared" si="1"/>
        <v>0.06232947162</v>
      </c>
      <c r="K97" s="31">
        <v>10120.0</v>
      </c>
      <c r="L97" s="31">
        <v>10120.0</v>
      </c>
      <c r="M97" s="35">
        <v>9995.0</v>
      </c>
      <c r="N97" s="33">
        <v>125.0</v>
      </c>
      <c r="O97" s="10">
        <v>0.0</v>
      </c>
      <c r="P97" s="35">
        <v>1.0</v>
      </c>
      <c r="Q97" s="33">
        <v>1.0</v>
      </c>
    </row>
    <row r="98">
      <c r="A98" s="29" t="s">
        <v>63</v>
      </c>
      <c r="B98" s="29">
        <v>29.0</v>
      </c>
      <c r="C98" s="31">
        <v>2783367.0</v>
      </c>
      <c r="D98" s="31">
        <v>2297811.0</v>
      </c>
      <c r="E98" s="31">
        <v>1364770.0</v>
      </c>
      <c r="F98" s="31">
        <v>5913.0</v>
      </c>
      <c r="G98" s="32">
        <v>0.004332598166724063</v>
      </c>
      <c r="H98" s="32">
        <v>0.04788</v>
      </c>
      <c r="I98" s="32">
        <v>0.05136</v>
      </c>
      <c r="J98" s="32">
        <f t="shared" si="1"/>
        <v>0.05687238855</v>
      </c>
      <c r="K98" s="31">
        <v>130682.0</v>
      </c>
      <c r="L98" s="31">
        <v>65341.0</v>
      </c>
      <c r="M98" s="35">
        <v>129421.0</v>
      </c>
      <c r="N98" s="31">
        <v>1261.0</v>
      </c>
      <c r="O98" s="10">
        <v>1.0</v>
      </c>
      <c r="P98" s="35">
        <v>1.0</v>
      </c>
      <c r="Q98" s="33">
        <v>2.0</v>
      </c>
    </row>
    <row r="99">
      <c r="A99" s="29" t="s">
        <v>59</v>
      </c>
      <c r="B99" s="29">
        <v>29.0</v>
      </c>
      <c r="C99" s="31">
        <v>664460.0</v>
      </c>
      <c r="D99" s="31">
        <v>413958.0</v>
      </c>
      <c r="E99" s="31">
        <v>453591.0</v>
      </c>
      <c r="F99" s="31">
        <v>-344.0</v>
      </c>
      <c r="G99" s="32">
        <v>-7.583924725137845E-4</v>
      </c>
      <c r="H99" s="32">
        <v>0.0265</v>
      </c>
      <c r="I99" s="32">
        <v>0.02936</v>
      </c>
      <c r="J99" s="32">
        <f t="shared" si="1"/>
        <v>0.05807835578</v>
      </c>
      <c r="K99" s="31">
        <v>24042.0</v>
      </c>
      <c r="L99" s="31">
        <v>12021.0</v>
      </c>
      <c r="M99" s="35">
        <v>22995.0</v>
      </c>
      <c r="N99" s="31">
        <v>1047.0</v>
      </c>
      <c r="O99" s="10">
        <v>0.0</v>
      </c>
      <c r="P99" s="35">
        <v>2.0</v>
      </c>
      <c r="Q99" s="33">
        <v>2.0</v>
      </c>
    </row>
    <row r="100">
      <c r="A100" s="29" t="s">
        <v>61</v>
      </c>
      <c r="B100" s="29">
        <v>29.0</v>
      </c>
      <c r="C100" s="31">
        <v>2163791.0</v>
      </c>
      <c r="D100" s="31">
        <v>1468758.0</v>
      </c>
      <c r="E100" s="31">
        <v>1337837.0</v>
      </c>
      <c r="F100" s="31">
        <v>4669.0</v>
      </c>
      <c r="G100" s="32">
        <v>0.003489961781592227</v>
      </c>
      <c r="H100" s="32">
        <v>0.03089</v>
      </c>
      <c r="I100" s="32">
        <v>0.07892</v>
      </c>
      <c r="J100" s="32">
        <f t="shared" si="1"/>
        <v>0.1125406636</v>
      </c>
      <c r="K100" s="31">
        <v>165295.0</v>
      </c>
      <c r="L100" s="34">
        <v>41323.75</v>
      </c>
      <c r="M100" s="35">
        <v>163326.0</v>
      </c>
      <c r="N100" s="31">
        <v>1969.0</v>
      </c>
      <c r="O100" s="10">
        <v>1.0</v>
      </c>
      <c r="P100" s="35">
        <v>3.0</v>
      </c>
      <c r="Q100" s="33">
        <v>4.0</v>
      </c>
    </row>
    <row r="101">
      <c r="A101" s="29" t="s">
        <v>67</v>
      </c>
      <c r="B101" s="29">
        <v>29.0</v>
      </c>
      <c r="C101" s="31">
        <v>1219906.0</v>
      </c>
      <c r="D101" s="31">
        <v>760000.0</v>
      </c>
      <c r="E101" s="31">
        <v>381398.0</v>
      </c>
      <c r="F101" s="31">
        <v>2223.0</v>
      </c>
      <c r="G101" s="32">
        <v>0.005828557045396148</v>
      </c>
      <c r="H101" s="32">
        <v>0.04491</v>
      </c>
      <c r="I101" s="32">
        <v>0.05423</v>
      </c>
      <c r="J101" s="32">
        <f t="shared" si="1"/>
        <v>0.09014342105</v>
      </c>
      <c r="K101" s="31">
        <v>68509.0</v>
      </c>
      <c r="L101" s="34">
        <v>17127.25</v>
      </c>
      <c r="M101" s="35">
        <v>68222.0</v>
      </c>
      <c r="N101" s="33">
        <v>287.0</v>
      </c>
      <c r="O101" s="10">
        <v>0.0</v>
      </c>
      <c r="P101" s="35">
        <v>4.0</v>
      </c>
      <c r="Q101" s="33">
        <v>4.0</v>
      </c>
    </row>
    <row r="102">
      <c r="A102" s="29" t="s">
        <v>64</v>
      </c>
      <c r="B102" s="29">
        <v>29.0</v>
      </c>
      <c r="C102" s="31">
        <v>1.909533E7</v>
      </c>
      <c r="D102" s="31">
        <v>1.1896391E7</v>
      </c>
      <c r="E102" s="31">
        <v>5482692.0</v>
      </c>
      <c r="F102" s="31">
        <v>358.0</v>
      </c>
      <c r="G102" s="32">
        <v>6.529639089702649E-5</v>
      </c>
      <c r="H102" s="32">
        <v>0.01549</v>
      </c>
      <c r="I102" s="32">
        <v>0.02745</v>
      </c>
      <c r="J102" s="32">
        <f t="shared" si="1"/>
        <v>0.04998801737</v>
      </c>
      <c r="K102" s="31">
        <v>594677.0</v>
      </c>
      <c r="L102" s="34">
        <v>84953.857</v>
      </c>
      <c r="M102" s="35">
        <v>580513.0</v>
      </c>
      <c r="N102" s="31">
        <v>14164.0</v>
      </c>
      <c r="O102" s="10">
        <v>0.0</v>
      </c>
      <c r="P102" s="35">
        <v>7.0</v>
      </c>
      <c r="Q102" s="33">
        <v>7.0</v>
      </c>
    </row>
    <row r="103">
      <c r="A103" s="29" t="s">
        <v>68</v>
      </c>
      <c r="B103" s="29">
        <v>29.0</v>
      </c>
      <c r="C103" s="31">
        <v>845333.0</v>
      </c>
      <c r="D103" s="31">
        <v>526643.0</v>
      </c>
      <c r="E103" s="31">
        <v>642613.0</v>
      </c>
      <c r="F103" s="31">
        <v>-1457.0</v>
      </c>
      <c r="G103" s="32">
        <v>-0.0022673055166951184</v>
      </c>
      <c r="H103" s="32">
        <v>0.00974</v>
      </c>
      <c r="I103" s="32">
        <v>0.02913</v>
      </c>
      <c r="J103" s="32">
        <f t="shared" si="1"/>
        <v>0.04752365454</v>
      </c>
      <c r="K103" s="31">
        <v>25028.0</v>
      </c>
      <c r="L103" s="31">
        <v>6257.0</v>
      </c>
      <c r="M103" s="35">
        <v>24785.0</v>
      </c>
      <c r="N103" s="33">
        <v>243.0</v>
      </c>
      <c r="O103" s="10">
        <v>0.0</v>
      </c>
      <c r="P103" s="35">
        <v>4.0</v>
      </c>
      <c r="Q103" s="33">
        <v>4.0</v>
      </c>
      <c r="R103" s="33"/>
    </row>
    <row r="104">
      <c r="A104" s="29" t="s">
        <v>69</v>
      </c>
      <c r="B104" s="29">
        <v>29.0</v>
      </c>
      <c r="C104" s="33">
        <v>0.0</v>
      </c>
      <c r="D104" s="33">
        <v>0.0</v>
      </c>
      <c r="E104" s="31">
        <v>1496014.0</v>
      </c>
      <c r="F104" s="31">
        <v>1313.0</v>
      </c>
      <c r="G104" s="32">
        <v>8.776655833434714E-4</v>
      </c>
      <c r="H104" s="32">
        <v>0.0</v>
      </c>
      <c r="I104" s="32">
        <v>0.0</v>
      </c>
      <c r="J104" s="32">
        <v>0.0</v>
      </c>
      <c r="K104" s="33">
        <v>0.0</v>
      </c>
      <c r="L104" s="33">
        <v>0.0</v>
      </c>
      <c r="M104" s="35">
        <v>0.0</v>
      </c>
      <c r="N104" s="33">
        <v>0.0</v>
      </c>
      <c r="O104" s="10">
        <v>0.0</v>
      </c>
      <c r="P104" s="35">
        <v>0.0</v>
      </c>
      <c r="Q104" s="33">
        <v>0.0</v>
      </c>
      <c r="R104" s="33"/>
    </row>
    <row r="105">
      <c r="A105" s="29" t="s">
        <v>54</v>
      </c>
      <c r="B105" s="29">
        <v>30.0</v>
      </c>
      <c r="C105" s="31">
        <v>740989.0</v>
      </c>
      <c r="D105" s="31">
        <v>581575.0</v>
      </c>
      <c r="E105" s="31">
        <v>553773.0</v>
      </c>
      <c r="F105" s="31">
        <v>6.0</v>
      </c>
      <c r="G105" s="32">
        <v>1.0834764425134486E-5</v>
      </c>
      <c r="H105" s="38">
        <v>0.00975</v>
      </c>
      <c r="I105" s="38">
        <v>0.01458</v>
      </c>
      <c r="J105" s="32">
        <f t="shared" ref="J105:J124" si="2">K105/D105</f>
        <v>0.01857198126</v>
      </c>
      <c r="K105" s="31">
        <v>10801.0</v>
      </c>
      <c r="L105" s="34">
        <v>5400.5</v>
      </c>
      <c r="M105" s="31">
        <v>10707.0</v>
      </c>
      <c r="N105" s="33">
        <v>94.0</v>
      </c>
      <c r="O105" s="33">
        <v>1.0</v>
      </c>
      <c r="P105" s="33">
        <v>1.0</v>
      </c>
      <c r="Q105" s="33">
        <v>2.0</v>
      </c>
      <c r="R105" s="33"/>
    </row>
    <row r="106">
      <c r="A106" s="29" t="s">
        <v>56</v>
      </c>
      <c r="B106" s="29">
        <v>30.0</v>
      </c>
      <c r="C106" s="31">
        <v>4275628.0</v>
      </c>
      <c r="D106" s="31">
        <v>3764258.0</v>
      </c>
      <c r="E106" s="31">
        <v>785010.0</v>
      </c>
      <c r="F106" s="31">
        <v>-645.0</v>
      </c>
      <c r="G106" s="32">
        <v>-8.216455841326862E-4</v>
      </c>
      <c r="H106" s="38">
        <v>0.02547</v>
      </c>
      <c r="I106" s="38">
        <v>0.02268</v>
      </c>
      <c r="J106" s="32">
        <f t="shared" si="2"/>
        <v>0.02125013748</v>
      </c>
      <c r="K106" s="31">
        <v>79991.0</v>
      </c>
      <c r="L106" s="34">
        <v>19997.75</v>
      </c>
      <c r="M106" s="31">
        <v>79859.0</v>
      </c>
      <c r="N106" s="33">
        <v>132.0</v>
      </c>
      <c r="O106" s="33">
        <v>2.0</v>
      </c>
      <c r="P106" s="33">
        <v>2.0</v>
      </c>
      <c r="Q106" s="33">
        <v>4.0</v>
      </c>
      <c r="R106" s="33"/>
    </row>
    <row r="107">
      <c r="A107" s="29" t="s">
        <v>60</v>
      </c>
      <c r="B107" s="29">
        <v>30.0</v>
      </c>
      <c r="C107" s="31">
        <v>1239448.0</v>
      </c>
      <c r="D107" s="31">
        <v>1022224.0</v>
      </c>
      <c r="E107" s="31">
        <v>626818.0</v>
      </c>
      <c r="F107" s="31">
        <v>371.0</v>
      </c>
      <c r="G107" s="32">
        <v>5.918783442721811E-4</v>
      </c>
      <c r="H107" s="38">
        <v>0.02551</v>
      </c>
      <c r="I107" s="38">
        <v>0.03261</v>
      </c>
      <c r="J107" s="32">
        <f t="shared" si="2"/>
        <v>0.03128374994</v>
      </c>
      <c r="K107" s="31">
        <v>31979.0</v>
      </c>
      <c r="L107" s="34">
        <v>15989.5</v>
      </c>
      <c r="M107" s="31">
        <v>31402.0</v>
      </c>
      <c r="N107" s="33">
        <v>577.0</v>
      </c>
      <c r="O107" s="33">
        <v>1.0</v>
      </c>
      <c r="P107" s="33">
        <v>1.0</v>
      </c>
      <c r="Q107" s="33">
        <v>2.0</v>
      </c>
      <c r="R107" s="33"/>
    </row>
    <row r="108">
      <c r="A108" s="29" t="s">
        <v>63</v>
      </c>
      <c r="B108" s="29">
        <v>30.0</v>
      </c>
      <c r="C108" s="31">
        <v>2122559.0</v>
      </c>
      <c r="D108" s="31">
        <v>1322354.0</v>
      </c>
      <c r="E108" s="31">
        <v>1368037.0</v>
      </c>
      <c r="F108" s="31">
        <v>3267.0</v>
      </c>
      <c r="G108" s="32">
        <v>0.0023880933044939574</v>
      </c>
      <c r="H108" s="38">
        <v>0.05359</v>
      </c>
      <c r="I108" s="38">
        <v>0.06851</v>
      </c>
      <c r="J108" s="32">
        <f t="shared" si="2"/>
        <v>0.1108734877</v>
      </c>
      <c r="K108" s="31">
        <v>146614.0</v>
      </c>
      <c r="L108" s="31">
        <v>73307.0</v>
      </c>
      <c r="M108" s="31">
        <v>143990.0</v>
      </c>
      <c r="N108" s="31">
        <v>2624.0</v>
      </c>
      <c r="O108" s="33">
        <v>0.0</v>
      </c>
      <c r="P108" s="33">
        <v>2.0</v>
      </c>
      <c r="Q108" s="33">
        <v>2.0</v>
      </c>
      <c r="R108" s="33"/>
    </row>
    <row r="109">
      <c r="A109" s="29" t="s">
        <v>59</v>
      </c>
      <c r="B109" s="29">
        <v>30.0</v>
      </c>
      <c r="C109" s="33">
        <v>358.0</v>
      </c>
      <c r="D109" s="33">
        <v>223.0</v>
      </c>
      <c r="E109" s="31">
        <v>453343.0</v>
      </c>
      <c r="F109" s="31">
        <v>-248.0</v>
      </c>
      <c r="G109" s="32">
        <v>-5.470471585532368E-4</v>
      </c>
      <c r="H109" s="38">
        <v>2.0E-5</v>
      </c>
      <c r="I109" s="38">
        <v>0.02793</v>
      </c>
      <c r="J109" s="32">
        <f t="shared" si="2"/>
        <v>0.04484304933</v>
      </c>
      <c r="K109" s="33">
        <v>10.0</v>
      </c>
      <c r="L109" s="33">
        <v>10.0</v>
      </c>
      <c r="M109" s="33">
        <v>10.0</v>
      </c>
      <c r="N109" s="33">
        <v>0.0</v>
      </c>
      <c r="O109" s="33">
        <v>0.0</v>
      </c>
      <c r="P109" s="33">
        <v>1.0</v>
      </c>
      <c r="Q109" s="33">
        <v>1.0</v>
      </c>
      <c r="R109" s="33"/>
    </row>
    <row r="110">
      <c r="A110" s="29" t="s">
        <v>61</v>
      </c>
      <c r="B110" s="29">
        <v>30.0</v>
      </c>
      <c r="C110" s="31">
        <v>926765.0</v>
      </c>
      <c r="D110" s="31">
        <v>577374.0</v>
      </c>
      <c r="E110" s="31">
        <v>1339065.0</v>
      </c>
      <c r="F110" s="31">
        <v>1228.0</v>
      </c>
      <c r="G110" s="32">
        <v>9.170577977917427E-4</v>
      </c>
      <c r="H110" s="38">
        <v>0.02127</v>
      </c>
      <c r="I110" s="38">
        <v>0.06539</v>
      </c>
      <c r="J110" s="32">
        <f t="shared" si="2"/>
        <v>0.09864663113</v>
      </c>
      <c r="K110" s="31">
        <v>56956.0</v>
      </c>
      <c r="L110" s="31">
        <v>28478.0</v>
      </c>
      <c r="M110" s="31">
        <v>56481.0</v>
      </c>
      <c r="N110" s="33">
        <v>475.0</v>
      </c>
      <c r="O110" s="33">
        <v>0.0</v>
      </c>
      <c r="P110" s="33">
        <v>2.0</v>
      </c>
      <c r="Q110" s="33">
        <v>2.0</v>
      </c>
      <c r="R110" s="33"/>
    </row>
    <row r="111">
      <c r="A111" s="29" t="s">
        <v>67</v>
      </c>
      <c r="B111" s="29">
        <v>30.0</v>
      </c>
      <c r="C111" s="31">
        <v>1201319.0</v>
      </c>
      <c r="D111" s="31">
        <v>775364.0</v>
      </c>
      <c r="E111" s="31">
        <v>383136.0</v>
      </c>
      <c r="F111" s="31">
        <v>1738.0</v>
      </c>
      <c r="G111" s="32">
        <v>0.004536248225173307</v>
      </c>
      <c r="H111" s="32">
        <v>0.0345</v>
      </c>
      <c r="I111" s="32">
        <v>0.03664</v>
      </c>
      <c r="J111" s="32">
        <f t="shared" si="2"/>
        <v>0.06819506709</v>
      </c>
      <c r="K111" s="31">
        <v>52876.0</v>
      </c>
      <c r="L111" s="31">
        <v>13219.0</v>
      </c>
      <c r="M111" s="35">
        <v>52477.0</v>
      </c>
      <c r="N111" s="35">
        <v>399.0</v>
      </c>
      <c r="O111" s="35">
        <v>1.0</v>
      </c>
      <c r="P111" s="35">
        <v>3.0</v>
      </c>
      <c r="Q111" s="33">
        <v>4.0</v>
      </c>
      <c r="R111" s="33"/>
    </row>
    <row r="112">
      <c r="A112" s="29" t="s">
        <v>64</v>
      </c>
      <c r="B112" s="29">
        <v>30.0</v>
      </c>
      <c r="C112" s="31">
        <v>1.5787247E7</v>
      </c>
      <c r="D112" s="31">
        <v>9835456.0</v>
      </c>
      <c r="E112" s="31">
        <v>5480587.0</v>
      </c>
      <c r="F112" s="31">
        <v>-2105.0</v>
      </c>
      <c r="G112" s="32">
        <v>-3.8408294585963145E-4</v>
      </c>
      <c r="H112" s="32">
        <v>0.01589</v>
      </c>
      <c r="I112" s="32">
        <v>0.0283</v>
      </c>
      <c r="J112" s="32">
        <f t="shared" si="2"/>
        <v>0.05311070478</v>
      </c>
      <c r="K112" s="31">
        <v>522368.0</v>
      </c>
      <c r="L112" s="34">
        <v>87061.333</v>
      </c>
      <c r="M112" s="35">
        <v>505270.0</v>
      </c>
      <c r="N112" s="35">
        <v>17098.0</v>
      </c>
      <c r="O112" s="35">
        <v>0.0</v>
      </c>
      <c r="P112" s="35">
        <v>6.0</v>
      </c>
      <c r="Q112" s="33">
        <v>6.0</v>
      </c>
      <c r="R112" s="33"/>
    </row>
    <row r="113">
      <c r="A113" s="29" t="s">
        <v>68</v>
      </c>
      <c r="B113" s="29">
        <v>30.0</v>
      </c>
      <c r="C113" s="31">
        <v>4677624.0</v>
      </c>
      <c r="D113" s="31">
        <v>3446103.0</v>
      </c>
      <c r="E113" s="31">
        <v>641955.0</v>
      </c>
      <c r="F113" s="31">
        <v>-658.0</v>
      </c>
      <c r="G113" s="32">
        <v>-0.0010249939637513533</v>
      </c>
      <c r="H113" s="32">
        <v>0.02354</v>
      </c>
      <c r="I113" s="32">
        <v>0.02189</v>
      </c>
      <c r="J113" s="32">
        <f t="shared" si="2"/>
        <v>0.03507730326</v>
      </c>
      <c r="K113" s="31">
        <v>120880.0</v>
      </c>
      <c r="L113" s="31">
        <v>15110.0</v>
      </c>
      <c r="M113" s="35">
        <v>118893.0</v>
      </c>
      <c r="N113" s="35">
        <v>1987.0</v>
      </c>
      <c r="O113" s="35">
        <v>2.0</v>
      </c>
      <c r="P113" s="35">
        <v>6.0</v>
      </c>
      <c r="Q113" s="33">
        <v>8.0</v>
      </c>
      <c r="R113" s="33"/>
    </row>
    <row r="114">
      <c r="A114" s="29" t="s">
        <v>69</v>
      </c>
      <c r="B114" s="29">
        <v>30.0</v>
      </c>
      <c r="C114" s="31">
        <v>1676178.0</v>
      </c>
      <c r="D114" s="31">
        <v>1523798.0</v>
      </c>
      <c r="E114" s="31">
        <v>1495618.0</v>
      </c>
      <c r="F114" s="31">
        <v>-396.0</v>
      </c>
      <c r="G114" s="32">
        <v>-2.647734916268726E-4</v>
      </c>
      <c r="H114" s="32">
        <v>0.0716</v>
      </c>
      <c r="I114" s="32">
        <v>0.06389</v>
      </c>
      <c r="J114" s="32">
        <f t="shared" si="2"/>
        <v>0.07027571896</v>
      </c>
      <c r="K114" s="31">
        <v>107086.0</v>
      </c>
      <c r="L114" s="31">
        <v>107086.0</v>
      </c>
      <c r="M114" s="35">
        <v>105705.0</v>
      </c>
      <c r="N114" s="35">
        <v>1381.0</v>
      </c>
      <c r="O114" s="35">
        <v>1.0</v>
      </c>
      <c r="P114" s="35">
        <v>0.0</v>
      </c>
      <c r="Q114" s="33">
        <v>1.0</v>
      </c>
    </row>
    <row r="115">
      <c r="A115" s="29" t="s">
        <v>54</v>
      </c>
      <c r="B115" s="29">
        <v>31.0</v>
      </c>
      <c r="C115" s="31">
        <v>1761249.0</v>
      </c>
      <c r="D115" s="31">
        <v>1097258.0</v>
      </c>
      <c r="E115" s="31">
        <v>552995.0</v>
      </c>
      <c r="F115" s="31">
        <v>-778.0</v>
      </c>
      <c r="G115" s="32">
        <v>-0.0014068843298764002</v>
      </c>
      <c r="H115" s="38">
        <v>0.02505</v>
      </c>
      <c r="I115" s="38">
        <v>0.01456</v>
      </c>
      <c r="J115" s="32">
        <f t="shared" si="2"/>
        <v>0.02524930326</v>
      </c>
      <c r="K115" s="31">
        <v>27705.0</v>
      </c>
      <c r="L115" s="34">
        <v>13852.5</v>
      </c>
      <c r="M115" s="31">
        <v>27589.0</v>
      </c>
      <c r="N115" s="33">
        <v>116.0</v>
      </c>
      <c r="O115" s="37">
        <v>0.0</v>
      </c>
      <c r="P115" s="33">
        <v>2.0</v>
      </c>
      <c r="Q115" s="33">
        <v>2.0</v>
      </c>
    </row>
    <row r="116">
      <c r="A116" s="29" t="s">
        <v>56</v>
      </c>
      <c r="B116" s="29">
        <v>31.0</v>
      </c>
      <c r="C116" s="31">
        <v>4710616.0</v>
      </c>
      <c r="D116" s="31">
        <v>4058929.0</v>
      </c>
      <c r="E116" s="31">
        <v>782077.0</v>
      </c>
      <c r="F116" s="31">
        <v>-2933.0</v>
      </c>
      <c r="G116" s="32">
        <v>-0.0037502701140680523</v>
      </c>
      <c r="H116" s="38">
        <v>0.02346</v>
      </c>
      <c r="I116" s="38">
        <v>0.02353</v>
      </c>
      <c r="J116" s="32">
        <f t="shared" si="2"/>
        <v>0.02259881856</v>
      </c>
      <c r="K116" s="31">
        <v>91727.0</v>
      </c>
      <c r="L116" s="34">
        <v>18345.4</v>
      </c>
      <c r="M116" s="31">
        <v>91586.0</v>
      </c>
      <c r="N116" s="33">
        <v>141.0</v>
      </c>
      <c r="O116" s="37">
        <v>2.0</v>
      </c>
      <c r="P116" s="33">
        <v>3.0</v>
      </c>
      <c r="Q116" s="33">
        <v>5.0</v>
      </c>
    </row>
    <row r="117">
      <c r="A117" s="29" t="s">
        <v>60</v>
      </c>
      <c r="B117" s="29">
        <v>31.0</v>
      </c>
      <c r="C117" s="31">
        <v>3472417.0</v>
      </c>
      <c r="D117" s="31">
        <v>2163316.0</v>
      </c>
      <c r="E117" s="31">
        <v>630294.0</v>
      </c>
      <c r="F117" s="31">
        <v>3476.0</v>
      </c>
      <c r="G117" s="32">
        <v>0.005514886703665274</v>
      </c>
      <c r="H117" s="38">
        <v>0.13657</v>
      </c>
      <c r="I117" s="38">
        <v>0.04713</v>
      </c>
      <c r="J117" s="32">
        <f t="shared" si="2"/>
        <v>0.07958338033</v>
      </c>
      <c r="K117" s="31">
        <v>172164.0</v>
      </c>
      <c r="L117" s="31">
        <v>86082.0</v>
      </c>
      <c r="M117" s="31">
        <v>171834.0</v>
      </c>
      <c r="N117" s="33">
        <v>330.0</v>
      </c>
      <c r="O117" s="37">
        <v>0.0</v>
      </c>
      <c r="P117" s="33">
        <v>2.0</v>
      </c>
      <c r="Q117" s="33">
        <v>2.0</v>
      </c>
    </row>
    <row r="118">
      <c r="A118" s="29" t="s">
        <v>63</v>
      </c>
      <c r="B118" s="29">
        <v>31.0</v>
      </c>
      <c r="C118" s="31">
        <v>3001658.0</v>
      </c>
      <c r="D118" s="31">
        <v>1870033.0</v>
      </c>
      <c r="E118" s="31">
        <v>1375207.0</v>
      </c>
      <c r="F118" s="31">
        <v>7170.0</v>
      </c>
      <c r="G118" s="32">
        <v>0.005213760546594076</v>
      </c>
      <c r="H118" s="38">
        <v>0.06635</v>
      </c>
      <c r="I118" s="38">
        <v>0.05994</v>
      </c>
      <c r="J118" s="32">
        <f t="shared" si="2"/>
        <v>0.09758223518</v>
      </c>
      <c r="K118" s="31">
        <v>182482.0</v>
      </c>
      <c r="L118" s="31">
        <v>91241.0</v>
      </c>
      <c r="M118" s="31">
        <v>177912.0</v>
      </c>
      <c r="N118" s="31">
        <v>4570.0</v>
      </c>
      <c r="O118" s="37">
        <v>0.0</v>
      </c>
      <c r="P118" s="33">
        <v>2.0</v>
      </c>
      <c r="Q118" s="33">
        <v>2.0</v>
      </c>
    </row>
    <row r="119">
      <c r="A119" s="29" t="s">
        <v>59</v>
      </c>
      <c r="B119" s="29">
        <v>31.0</v>
      </c>
      <c r="C119" s="31">
        <v>883100.0</v>
      </c>
      <c r="D119" s="31">
        <v>550172.0</v>
      </c>
      <c r="E119" s="31">
        <v>453072.0</v>
      </c>
      <c r="F119" s="31">
        <v>-271.0</v>
      </c>
      <c r="G119" s="32">
        <v>-5.981389271462373E-4</v>
      </c>
      <c r="H119" s="38">
        <v>0.03558</v>
      </c>
      <c r="I119" s="38">
        <v>0.04723</v>
      </c>
      <c r="J119" s="32">
        <f t="shared" si="2"/>
        <v>0.08790705452</v>
      </c>
      <c r="K119" s="31">
        <v>48364.0</v>
      </c>
      <c r="L119" s="34">
        <v>16121.333</v>
      </c>
      <c r="M119" s="31">
        <v>46672.0</v>
      </c>
      <c r="N119" s="31">
        <v>1692.0</v>
      </c>
      <c r="O119" s="37">
        <v>0.0</v>
      </c>
      <c r="P119" s="33">
        <v>3.0</v>
      </c>
      <c r="Q119" s="33">
        <v>3.0</v>
      </c>
    </row>
    <row r="120">
      <c r="A120" s="29" t="s">
        <v>61</v>
      </c>
      <c r="B120" s="29">
        <v>31.0</v>
      </c>
      <c r="C120" s="31">
        <v>854104.0</v>
      </c>
      <c r="D120" s="31">
        <v>532107.0</v>
      </c>
      <c r="E120" s="31">
        <v>1338948.0</v>
      </c>
      <c r="F120" s="31">
        <v>-117.0</v>
      </c>
      <c r="G120" s="32">
        <v>-8.738203425375742E-5</v>
      </c>
      <c r="H120" s="38">
        <v>0.00516</v>
      </c>
      <c r="I120" s="38">
        <v>0.03933</v>
      </c>
      <c r="J120" s="32">
        <f t="shared" si="2"/>
        <v>0.05197450889</v>
      </c>
      <c r="K120" s="31">
        <v>27656.0</v>
      </c>
      <c r="L120" s="31">
        <v>6914.0</v>
      </c>
      <c r="M120" s="31">
        <v>27325.0</v>
      </c>
      <c r="N120" s="33">
        <v>331.0</v>
      </c>
      <c r="O120" s="37">
        <v>0.0</v>
      </c>
      <c r="P120" s="33">
        <v>4.0</v>
      </c>
      <c r="Q120" s="33">
        <v>4.0</v>
      </c>
    </row>
    <row r="121">
      <c r="A121" s="29" t="s">
        <v>67</v>
      </c>
      <c r="B121" s="29">
        <v>31.0</v>
      </c>
      <c r="C121" s="31">
        <v>2027083.0</v>
      </c>
      <c r="D121" s="31">
        <v>1262872.0</v>
      </c>
      <c r="E121" s="31">
        <v>383215.0</v>
      </c>
      <c r="F121" s="31">
        <v>79.0</v>
      </c>
      <c r="G121" s="32">
        <v>2.061505943138969E-4</v>
      </c>
      <c r="H121" s="38">
        <v>0.10418</v>
      </c>
      <c r="I121" s="38">
        <v>0.04534</v>
      </c>
      <c r="J121" s="32">
        <f t="shared" si="2"/>
        <v>0.06455444416</v>
      </c>
      <c r="K121" s="31">
        <v>81524.0</v>
      </c>
      <c r="L121" s="31">
        <v>40762.0</v>
      </c>
      <c r="M121" s="31">
        <v>81153.0</v>
      </c>
      <c r="N121" s="33">
        <v>371.0</v>
      </c>
      <c r="O121" s="37">
        <v>0.0</v>
      </c>
      <c r="P121" s="33">
        <v>2.0</v>
      </c>
      <c r="Q121" s="33">
        <v>2.0</v>
      </c>
    </row>
    <row r="122">
      <c r="A122" s="29" t="s">
        <v>64</v>
      </c>
      <c r="B122" s="29">
        <v>31.0</v>
      </c>
      <c r="C122" s="31">
        <v>1.5672485E7</v>
      </c>
      <c r="D122" s="31">
        <v>9763958.0</v>
      </c>
      <c r="E122" s="31">
        <v>5475996.0</v>
      </c>
      <c r="F122" s="31">
        <v>-4591.0</v>
      </c>
      <c r="G122" s="32">
        <v>-8.383862953880902E-4</v>
      </c>
      <c r="H122" s="32">
        <v>0.01028</v>
      </c>
      <c r="I122" s="32">
        <v>0.02769</v>
      </c>
      <c r="J122" s="32">
        <f t="shared" si="2"/>
        <v>0.04035801875</v>
      </c>
      <c r="K122" s="31">
        <v>394054.0</v>
      </c>
      <c r="L122" s="34">
        <v>56293.429</v>
      </c>
      <c r="M122" s="35">
        <v>384556.0</v>
      </c>
      <c r="N122" s="35">
        <v>9498.0</v>
      </c>
      <c r="O122" s="10">
        <v>0.0</v>
      </c>
      <c r="P122" s="35">
        <v>7.0</v>
      </c>
      <c r="Q122" s="33">
        <v>7.0</v>
      </c>
    </row>
    <row r="123">
      <c r="A123" s="29" t="s">
        <v>68</v>
      </c>
      <c r="B123" s="29">
        <v>31.0</v>
      </c>
      <c r="C123" s="31">
        <v>1880123.0</v>
      </c>
      <c r="D123" s="31">
        <v>1171317.0</v>
      </c>
      <c r="E123" s="31">
        <v>641730.0</v>
      </c>
      <c r="F123" s="31">
        <v>-225.0</v>
      </c>
      <c r="G123" s="32">
        <v>-3.5061474451872284E-4</v>
      </c>
      <c r="H123" s="32">
        <v>0.04401</v>
      </c>
      <c r="I123" s="32">
        <v>0.04118</v>
      </c>
      <c r="J123" s="32">
        <f t="shared" si="2"/>
        <v>0.04822008047</v>
      </c>
      <c r="K123" s="31">
        <v>56481.0</v>
      </c>
      <c r="L123" s="34">
        <v>28240.5</v>
      </c>
      <c r="M123" s="35">
        <v>56325.0</v>
      </c>
      <c r="N123" s="35">
        <v>156.0</v>
      </c>
      <c r="O123" s="10">
        <v>0.0</v>
      </c>
      <c r="P123" s="35">
        <v>2.0</v>
      </c>
      <c r="Q123" s="33">
        <v>2.0</v>
      </c>
    </row>
    <row r="124">
      <c r="A124" s="29" t="s">
        <v>69</v>
      </c>
      <c r="B124" s="29">
        <v>31.0</v>
      </c>
      <c r="C124" s="31">
        <v>1.4312824E7</v>
      </c>
      <c r="D124" s="31">
        <v>9382507.0</v>
      </c>
      <c r="E124" s="31">
        <v>1518254.0</v>
      </c>
      <c r="F124" s="31">
        <v>22636.0</v>
      </c>
      <c r="G124" s="32">
        <v>0.014909231261699294</v>
      </c>
      <c r="H124" s="32">
        <v>0.09067</v>
      </c>
      <c r="I124" s="32">
        <v>0.05087</v>
      </c>
      <c r="J124" s="32">
        <f t="shared" si="2"/>
        <v>0.07335715284</v>
      </c>
      <c r="K124" s="31">
        <v>688274.0</v>
      </c>
      <c r="L124" s="34">
        <v>137654.8</v>
      </c>
      <c r="M124" s="35">
        <v>659923.0</v>
      </c>
      <c r="N124" s="35">
        <v>28351.0</v>
      </c>
      <c r="O124" s="10">
        <v>1.0</v>
      </c>
      <c r="P124" s="35">
        <v>4.0</v>
      </c>
      <c r="Q124" s="33">
        <v>5.0</v>
      </c>
    </row>
    <row r="125">
      <c r="G125" s="6"/>
    </row>
    <row r="126">
      <c r="G126" s="6"/>
    </row>
    <row r="127">
      <c r="G127" s="6"/>
    </row>
    <row r="128">
      <c r="G128" s="6"/>
    </row>
    <row r="129">
      <c r="G129" s="6"/>
    </row>
    <row r="130">
      <c r="G130" s="6"/>
    </row>
    <row r="131">
      <c r="G131" s="6"/>
    </row>
    <row r="132">
      <c r="G132" s="6"/>
    </row>
    <row r="133">
      <c r="G133" s="6"/>
    </row>
    <row r="134">
      <c r="G134" s="6"/>
    </row>
    <row r="135">
      <c r="G135" s="6"/>
    </row>
    <row r="136">
      <c r="G136" s="6"/>
    </row>
    <row r="137">
      <c r="G137" s="6"/>
    </row>
    <row r="138">
      <c r="G138" s="6"/>
    </row>
    <row r="139">
      <c r="G139" s="6"/>
    </row>
    <row r="140">
      <c r="G140" s="6"/>
    </row>
    <row r="141">
      <c r="G141" s="6"/>
      <c r="H141" s="6"/>
      <c r="I141" s="6"/>
      <c r="J141" s="6"/>
      <c r="O141" s="10"/>
      <c r="P141" s="10"/>
      <c r="Q141" s="10"/>
    </row>
    <row r="142">
      <c r="G142" s="6"/>
      <c r="H142" s="6"/>
      <c r="I142" s="6"/>
      <c r="J142" s="6"/>
      <c r="O142" s="10"/>
      <c r="P142" s="10"/>
      <c r="Q142" s="10"/>
    </row>
    <row r="143">
      <c r="G143" s="6"/>
      <c r="H143" s="6"/>
      <c r="I143" s="6"/>
      <c r="J143" s="6"/>
      <c r="O143" s="10"/>
      <c r="P143" s="10"/>
      <c r="Q143" s="10"/>
    </row>
    <row r="144">
      <c r="G144" s="6"/>
      <c r="H144" s="6"/>
      <c r="I144" s="6"/>
      <c r="J144" s="6"/>
      <c r="O144" s="10"/>
      <c r="P144" s="10"/>
      <c r="Q144" s="10"/>
    </row>
    <row r="145">
      <c r="G145" s="6"/>
      <c r="H145" s="6"/>
      <c r="I145" s="6"/>
      <c r="J145" s="6"/>
      <c r="O145" s="10"/>
      <c r="P145" s="10"/>
      <c r="Q145" s="10"/>
    </row>
    <row r="146">
      <c r="G146" s="6"/>
      <c r="H146" s="6"/>
      <c r="I146" s="6"/>
      <c r="J146" s="6"/>
      <c r="O146" s="10"/>
      <c r="P146" s="10"/>
      <c r="Q146" s="10"/>
    </row>
    <row r="147">
      <c r="G147" s="6"/>
      <c r="H147" s="6"/>
      <c r="I147" s="6"/>
      <c r="J147" s="6"/>
      <c r="O147" s="10"/>
      <c r="P147" s="10"/>
      <c r="Q147" s="10"/>
    </row>
    <row r="148">
      <c r="G148" s="6"/>
      <c r="H148" s="6"/>
      <c r="I148" s="6"/>
      <c r="J148" s="6"/>
      <c r="O148" s="10"/>
      <c r="P148" s="10"/>
      <c r="Q148" s="10"/>
    </row>
    <row r="149">
      <c r="G149" s="6"/>
      <c r="H149" s="6"/>
      <c r="I149" s="6"/>
      <c r="J149" s="6"/>
      <c r="O149" s="10"/>
      <c r="P149" s="10"/>
      <c r="Q149" s="10"/>
    </row>
    <row r="150">
      <c r="G150" s="6"/>
      <c r="H150" s="6"/>
      <c r="I150" s="6"/>
      <c r="J150" s="6"/>
      <c r="O150" s="10"/>
      <c r="P150" s="10"/>
      <c r="Q150" s="10"/>
    </row>
    <row r="151">
      <c r="G151" s="6"/>
      <c r="H151" s="6"/>
      <c r="I151" s="6"/>
      <c r="J151" s="6"/>
      <c r="O151" s="10"/>
      <c r="P151" s="10"/>
      <c r="Q151" s="10"/>
    </row>
    <row r="152">
      <c r="G152" s="6"/>
      <c r="H152" s="6"/>
      <c r="I152" s="6"/>
      <c r="J152" s="6"/>
      <c r="O152" s="10"/>
      <c r="P152" s="10"/>
      <c r="Q152" s="10"/>
    </row>
    <row r="153">
      <c r="G153" s="6"/>
      <c r="H153" s="6"/>
      <c r="I153" s="6"/>
      <c r="J153" s="6"/>
      <c r="O153" s="10"/>
      <c r="P153" s="10"/>
      <c r="Q153" s="10"/>
    </row>
    <row r="154">
      <c r="G154" s="6"/>
      <c r="H154" s="6"/>
      <c r="I154" s="6"/>
      <c r="J154" s="6"/>
      <c r="O154" s="10"/>
      <c r="P154" s="10"/>
      <c r="Q154" s="10"/>
    </row>
    <row r="155">
      <c r="G155" s="6"/>
      <c r="H155" s="6"/>
      <c r="I155" s="6"/>
      <c r="J155" s="6"/>
      <c r="O155" s="10"/>
      <c r="P155" s="10"/>
      <c r="Q155" s="10"/>
    </row>
    <row r="156">
      <c r="G156" s="6"/>
      <c r="H156" s="6"/>
      <c r="I156" s="6"/>
      <c r="J156" s="6"/>
      <c r="O156" s="10"/>
      <c r="P156" s="10"/>
      <c r="Q156" s="10"/>
    </row>
    <row r="157">
      <c r="G157" s="6"/>
      <c r="H157" s="6"/>
      <c r="I157" s="6"/>
      <c r="J157" s="6"/>
      <c r="O157" s="10"/>
      <c r="P157" s="10"/>
      <c r="Q157" s="10"/>
    </row>
    <row r="158">
      <c r="G158" s="6"/>
      <c r="H158" s="6"/>
      <c r="I158" s="6"/>
      <c r="J158" s="6"/>
      <c r="O158" s="10"/>
      <c r="P158" s="10"/>
      <c r="Q158" s="10"/>
    </row>
    <row r="159">
      <c r="G159" s="6"/>
      <c r="H159" s="6"/>
      <c r="I159" s="6"/>
      <c r="J159" s="6"/>
      <c r="O159" s="10"/>
      <c r="P159" s="10"/>
      <c r="Q159" s="10"/>
    </row>
    <row r="160">
      <c r="G160" s="6"/>
      <c r="H160" s="6"/>
      <c r="I160" s="6"/>
      <c r="J160" s="6"/>
      <c r="O160" s="10"/>
      <c r="P160" s="10"/>
      <c r="Q160" s="10"/>
    </row>
    <row r="161">
      <c r="G161" s="6"/>
      <c r="H161" s="6"/>
      <c r="I161" s="6"/>
      <c r="J161" s="6"/>
      <c r="O161" s="10"/>
      <c r="P161" s="10"/>
      <c r="Q161" s="10"/>
    </row>
    <row r="162">
      <c r="G162" s="6"/>
      <c r="H162" s="6"/>
      <c r="I162" s="6"/>
      <c r="J162" s="6"/>
      <c r="O162" s="10"/>
      <c r="P162" s="10"/>
      <c r="Q162" s="10"/>
    </row>
    <row r="163">
      <c r="G163" s="6"/>
      <c r="H163" s="6"/>
      <c r="I163" s="6"/>
      <c r="J163" s="6"/>
      <c r="O163" s="10"/>
      <c r="P163" s="10"/>
      <c r="Q163" s="10"/>
    </row>
    <row r="164">
      <c r="G164" s="6"/>
      <c r="H164" s="6"/>
      <c r="I164" s="6"/>
      <c r="J164" s="6"/>
      <c r="O164" s="10"/>
      <c r="P164" s="10"/>
      <c r="Q164" s="10"/>
    </row>
    <row r="165">
      <c r="G165" s="6"/>
      <c r="H165" s="6"/>
      <c r="I165" s="6"/>
      <c r="J165" s="6"/>
      <c r="O165" s="10"/>
      <c r="P165" s="10"/>
      <c r="Q165" s="10"/>
    </row>
    <row r="166">
      <c r="G166" s="6"/>
      <c r="H166" s="6"/>
      <c r="I166" s="6"/>
      <c r="J166" s="6"/>
      <c r="O166" s="10"/>
      <c r="P166" s="10"/>
      <c r="Q166" s="10"/>
    </row>
    <row r="167">
      <c r="G167" s="6"/>
      <c r="H167" s="6"/>
      <c r="I167" s="6"/>
      <c r="J167" s="6"/>
      <c r="O167" s="10"/>
      <c r="P167" s="10"/>
      <c r="Q167" s="10"/>
    </row>
    <row r="168">
      <c r="G168" s="6"/>
      <c r="H168" s="6"/>
      <c r="I168" s="6"/>
      <c r="J168" s="6"/>
      <c r="O168" s="10"/>
      <c r="P168" s="10"/>
      <c r="Q168" s="10"/>
    </row>
    <row r="169">
      <c r="G169" s="6"/>
      <c r="H169" s="6"/>
      <c r="I169" s="6"/>
      <c r="J169" s="6"/>
      <c r="O169" s="10"/>
      <c r="P169" s="10"/>
      <c r="Q169" s="10"/>
    </row>
    <row r="170">
      <c r="G170" s="6"/>
      <c r="H170" s="6"/>
      <c r="I170" s="6"/>
      <c r="J170" s="6"/>
      <c r="O170" s="10"/>
      <c r="P170" s="10"/>
      <c r="Q170" s="10"/>
    </row>
    <row r="171">
      <c r="G171" s="6"/>
      <c r="H171" s="6"/>
      <c r="I171" s="6"/>
      <c r="J171" s="6"/>
      <c r="O171" s="10"/>
      <c r="P171" s="10"/>
      <c r="Q171" s="10"/>
    </row>
    <row r="172">
      <c r="G172" s="6"/>
      <c r="H172" s="6"/>
      <c r="I172" s="6"/>
      <c r="J172" s="6"/>
      <c r="O172" s="10"/>
      <c r="P172" s="10"/>
      <c r="Q172" s="10"/>
    </row>
    <row r="173">
      <c r="G173" s="6"/>
      <c r="H173" s="6"/>
      <c r="I173" s="6"/>
      <c r="J173" s="6"/>
      <c r="O173" s="10"/>
      <c r="P173" s="10"/>
      <c r="Q173" s="10"/>
    </row>
    <row r="174">
      <c r="G174" s="6"/>
      <c r="H174" s="6"/>
      <c r="I174" s="6"/>
      <c r="J174" s="6"/>
      <c r="O174" s="10"/>
      <c r="P174" s="10"/>
      <c r="Q174" s="10"/>
    </row>
    <row r="175">
      <c r="G175" s="6"/>
      <c r="H175" s="6"/>
      <c r="I175" s="6"/>
      <c r="J175" s="6"/>
      <c r="O175" s="10"/>
      <c r="P175" s="10"/>
      <c r="Q175" s="10"/>
    </row>
    <row r="176">
      <c r="G176" s="6"/>
      <c r="H176" s="6"/>
      <c r="I176" s="6"/>
      <c r="J176" s="6"/>
      <c r="O176" s="10"/>
      <c r="P176" s="10"/>
      <c r="Q176" s="10"/>
    </row>
    <row r="177">
      <c r="G177" s="6"/>
      <c r="H177" s="6"/>
      <c r="I177" s="6"/>
      <c r="J177" s="6"/>
      <c r="O177" s="10"/>
      <c r="P177" s="10"/>
      <c r="Q177" s="10"/>
    </row>
    <row r="178">
      <c r="G178" s="6"/>
      <c r="H178" s="6"/>
      <c r="I178" s="6"/>
      <c r="J178" s="6"/>
      <c r="O178" s="10"/>
      <c r="P178" s="10"/>
      <c r="Q178" s="10"/>
    </row>
    <row r="179">
      <c r="G179" s="6"/>
      <c r="H179" s="6"/>
      <c r="I179" s="6"/>
      <c r="J179" s="6"/>
      <c r="O179" s="10"/>
      <c r="P179" s="10"/>
      <c r="Q179" s="10"/>
    </row>
    <row r="180">
      <c r="G180" s="6"/>
      <c r="H180" s="6"/>
      <c r="I180" s="6"/>
      <c r="J180" s="6"/>
      <c r="O180" s="10"/>
      <c r="P180" s="10"/>
      <c r="Q180" s="10"/>
    </row>
    <row r="181">
      <c r="G181" s="6"/>
      <c r="H181" s="6"/>
      <c r="I181" s="6"/>
      <c r="J181" s="6"/>
      <c r="O181" s="10"/>
      <c r="P181" s="10"/>
      <c r="Q181" s="10"/>
    </row>
    <row r="182">
      <c r="G182" s="6"/>
      <c r="H182" s="6"/>
      <c r="I182" s="6"/>
      <c r="J182" s="6"/>
      <c r="O182" s="10"/>
      <c r="P182" s="10"/>
      <c r="Q182" s="10"/>
    </row>
    <row r="183">
      <c r="G183" s="6"/>
      <c r="H183" s="6"/>
      <c r="I183" s="6"/>
      <c r="J183" s="6"/>
      <c r="O183" s="10"/>
      <c r="P183" s="10"/>
      <c r="Q183" s="10"/>
    </row>
    <row r="184">
      <c r="G184" s="6"/>
      <c r="H184" s="6"/>
      <c r="I184" s="6"/>
      <c r="J184" s="6"/>
      <c r="O184" s="10"/>
      <c r="P184" s="10"/>
      <c r="Q184" s="10"/>
    </row>
    <row r="185">
      <c r="G185" s="6"/>
      <c r="H185" s="6"/>
      <c r="I185" s="6"/>
      <c r="J185" s="6"/>
      <c r="O185" s="10"/>
      <c r="P185" s="10"/>
      <c r="Q185" s="10"/>
    </row>
    <row r="186">
      <c r="G186" s="6"/>
      <c r="H186" s="6"/>
      <c r="I186" s="6"/>
      <c r="J186" s="6"/>
      <c r="O186" s="10"/>
      <c r="P186" s="10"/>
      <c r="Q186" s="10"/>
    </row>
    <row r="187">
      <c r="G187" s="6"/>
      <c r="H187" s="6"/>
      <c r="I187" s="6"/>
      <c r="J187" s="6"/>
      <c r="O187" s="10"/>
      <c r="P187" s="10"/>
      <c r="Q187" s="10"/>
    </row>
    <row r="188">
      <c r="G188" s="6"/>
      <c r="H188" s="6"/>
      <c r="I188" s="6"/>
      <c r="J188" s="6"/>
      <c r="O188" s="10"/>
      <c r="P188" s="10"/>
      <c r="Q188" s="10"/>
    </row>
    <row r="189">
      <c r="G189" s="6"/>
      <c r="H189" s="6"/>
      <c r="I189" s="6"/>
      <c r="J189" s="6"/>
      <c r="O189" s="10"/>
      <c r="P189" s="10"/>
      <c r="Q189" s="10"/>
    </row>
    <row r="190">
      <c r="G190" s="6"/>
      <c r="H190" s="6"/>
      <c r="I190" s="6"/>
      <c r="J190" s="6"/>
      <c r="O190" s="10"/>
      <c r="P190" s="10"/>
      <c r="Q190" s="10"/>
    </row>
    <row r="191">
      <c r="G191" s="6"/>
      <c r="H191" s="6"/>
      <c r="I191" s="6"/>
      <c r="J191" s="6"/>
      <c r="O191" s="10"/>
      <c r="P191" s="10"/>
      <c r="Q191" s="10"/>
    </row>
    <row r="192">
      <c r="G192" s="6"/>
      <c r="H192" s="6"/>
      <c r="I192" s="6"/>
      <c r="J192" s="6"/>
      <c r="O192" s="10"/>
      <c r="P192" s="10"/>
      <c r="Q192" s="10"/>
    </row>
    <row r="193">
      <c r="G193" s="6"/>
      <c r="H193" s="6"/>
      <c r="I193" s="6"/>
      <c r="J193" s="6"/>
      <c r="O193" s="10"/>
      <c r="P193" s="10"/>
      <c r="Q193" s="10"/>
    </row>
    <row r="194">
      <c r="G194" s="6"/>
      <c r="H194" s="6"/>
      <c r="I194" s="6"/>
      <c r="J194" s="6"/>
      <c r="O194" s="10"/>
      <c r="P194" s="10"/>
      <c r="Q194" s="10"/>
    </row>
    <row r="195">
      <c r="G195" s="6"/>
      <c r="H195" s="6"/>
      <c r="I195" s="6"/>
      <c r="J195" s="6"/>
      <c r="O195" s="10"/>
      <c r="P195" s="10"/>
      <c r="Q195" s="10"/>
    </row>
    <row r="196">
      <c r="G196" s="6"/>
      <c r="H196" s="6"/>
      <c r="I196" s="6"/>
      <c r="J196" s="6"/>
      <c r="O196" s="10"/>
      <c r="P196" s="10"/>
      <c r="Q196" s="10"/>
    </row>
    <row r="197">
      <c r="G197" s="6"/>
      <c r="H197" s="6"/>
      <c r="I197" s="6"/>
      <c r="J197" s="6"/>
      <c r="O197" s="10"/>
      <c r="P197" s="10"/>
      <c r="Q197" s="10"/>
    </row>
    <row r="198">
      <c r="G198" s="6"/>
      <c r="H198" s="6"/>
      <c r="I198" s="6"/>
      <c r="J198" s="6"/>
      <c r="O198" s="10"/>
      <c r="P198" s="10"/>
      <c r="Q198" s="10"/>
    </row>
    <row r="199">
      <c r="G199" s="6"/>
      <c r="H199" s="6"/>
      <c r="I199" s="6"/>
      <c r="J199" s="6"/>
      <c r="O199" s="10"/>
      <c r="P199" s="10"/>
      <c r="Q199" s="10"/>
    </row>
    <row r="200">
      <c r="G200" s="6"/>
      <c r="H200" s="6"/>
      <c r="I200" s="6"/>
      <c r="J200" s="6"/>
      <c r="O200" s="10"/>
      <c r="P200" s="10"/>
      <c r="Q200" s="10"/>
    </row>
    <row r="201">
      <c r="G201" s="6"/>
      <c r="H201" s="6"/>
      <c r="I201" s="6"/>
      <c r="J201" s="6"/>
      <c r="O201" s="10"/>
      <c r="P201" s="10"/>
      <c r="Q201" s="10"/>
    </row>
    <row r="202">
      <c r="G202" s="6"/>
      <c r="H202" s="6"/>
      <c r="I202" s="6"/>
      <c r="J202" s="6"/>
      <c r="O202" s="10"/>
      <c r="P202" s="10"/>
      <c r="Q202" s="10"/>
    </row>
    <row r="203">
      <c r="G203" s="6"/>
      <c r="H203" s="6"/>
      <c r="I203" s="6"/>
      <c r="J203" s="6"/>
      <c r="O203" s="10"/>
      <c r="P203" s="10"/>
      <c r="Q203" s="10"/>
    </row>
    <row r="204">
      <c r="G204" s="6"/>
      <c r="H204" s="6"/>
      <c r="I204" s="6"/>
      <c r="J204" s="6"/>
      <c r="O204" s="10"/>
      <c r="P204" s="10"/>
      <c r="Q204" s="10"/>
    </row>
    <row r="205">
      <c r="G205" s="6"/>
      <c r="H205" s="6"/>
      <c r="I205" s="6"/>
      <c r="J205" s="6"/>
      <c r="O205" s="10"/>
      <c r="P205" s="10"/>
      <c r="Q205" s="10"/>
    </row>
    <row r="206">
      <c r="G206" s="6"/>
      <c r="H206" s="6"/>
      <c r="I206" s="6"/>
      <c r="J206" s="6"/>
      <c r="O206" s="10"/>
      <c r="P206" s="10"/>
      <c r="Q206" s="10"/>
    </row>
    <row r="207">
      <c r="G207" s="6"/>
      <c r="H207" s="6"/>
      <c r="I207" s="6"/>
      <c r="J207" s="6"/>
      <c r="O207" s="10"/>
      <c r="P207" s="10"/>
      <c r="Q207" s="10"/>
    </row>
    <row r="208">
      <c r="G208" s="6"/>
      <c r="H208" s="6"/>
      <c r="I208" s="6"/>
      <c r="J208" s="6"/>
      <c r="O208" s="10"/>
      <c r="P208" s="10"/>
      <c r="Q208" s="10"/>
    </row>
    <row r="209">
      <c r="G209" s="6"/>
      <c r="H209" s="6"/>
      <c r="I209" s="6"/>
      <c r="J209" s="6"/>
      <c r="O209" s="10"/>
      <c r="P209" s="10"/>
      <c r="Q209" s="10"/>
    </row>
    <row r="210">
      <c r="G210" s="6"/>
      <c r="H210" s="6"/>
      <c r="I210" s="6"/>
      <c r="J210" s="6"/>
      <c r="O210" s="10"/>
      <c r="P210" s="10"/>
      <c r="Q210" s="10"/>
    </row>
    <row r="211">
      <c r="G211" s="6"/>
      <c r="H211" s="6"/>
      <c r="I211" s="6"/>
      <c r="J211" s="6"/>
      <c r="O211" s="10"/>
      <c r="P211" s="10"/>
      <c r="Q211" s="10"/>
    </row>
    <row r="212">
      <c r="G212" s="6"/>
      <c r="H212" s="6"/>
      <c r="I212" s="6"/>
      <c r="J212" s="6"/>
      <c r="O212" s="10"/>
      <c r="P212" s="10"/>
      <c r="Q212" s="10"/>
    </row>
    <row r="213">
      <c r="G213" s="6"/>
      <c r="H213" s="6"/>
      <c r="I213" s="6"/>
      <c r="J213" s="6"/>
      <c r="O213" s="10"/>
      <c r="P213" s="10"/>
      <c r="Q213" s="10"/>
    </row>
    <row r="214">
      <c r="G214" s="6"/>
      <c r="H214" s="6"/>
      <c r="I214" s="6"/>
      <c r="J214" s="6"/>
      <c r="O214" s="10"/>
      <c r="P214" s="10"/>
      <c r="Q214" s="10"/>
    </row>
    <row r="215">
      <c r="G215" s="6"/>
      <c r="H215" s="6"/>
      <c r="I215" s="6"/>
      <c r="J215" s="6"/>
      <c r="O215" s="10"/>
      <c r="P215" s="10"/>
      <c r="Q215" s="10"/>
    </row>
    <row r="216">
      <c r="G216" s="6"/>
      <c r="H216" s="6"/>
      <c r="I216" s="6"/>
      <c r="J216" s="6"/>
      <c r="O216" s="10"/>
      <c r="P216" s="10"/>
      <c r="Q216" s="10"/>
    </row>
    <row r="217">
      <c r="G217" s="6"/>
      <c r="H217" s="6"/>
      <c r="I217" s="6"/>
      <c r="J217" s="6"/>
      <c r="O217" s="10"/>
      <c r="P217" s="10"/>
      <c r="Q217" s="10"/>
    </row>
    <row r="218">
      <c r="G218" s="6"/>
      <c r="H218" s="6"/>
      <c r="I218" s="6"/>
      <c r="J218" s="6"/>
      <c r="O218" s="10"/>
      <c r="P218" s="10"/>
      <c r="Q218" s="10"/>
    </row>
    <row r="219">
      <c r="G219" s="6"/>
      <c r="H219" s="6"/>
      <c r="I219" s="6"/>
      <c r="J219" s="6"/>
      <c r="O219" s="10"/>
      <c r="P219" s="10"/>
      <c r="Q219" s="10"/>
    </row>
    <row r="220">
      <c r="G220" s="6"/>
      <c r="H220" s="6"/>
      <c r="I220" s="6"/>
      <c r="J220" s="6"/>
      <c r="O220" s="10"/>
      <c r="P220" s="10"/>
      <c r="Q220" s="10"/>
    </row>
    <row r="221">
      <c r="G221" s="6"/>
      <c r="H221" s="6"/>
      <c r="I221" s="6"/>
      <c r="J221" s="6"/>
      <c r="O221" s="10"/>
      <c r="P221" s="10"/>
      <c r="Q221" s="10"/>
    </row>
    <row r="222">
      <c r="G222" s="6"/>
      <c r="H222" s="6"/>
      <c r="I222" s="6"/>
      <c r="J222" s="6"/>
      <c r="O222" s="10"/>
      <c r="P222" s="10"/>
      <c r="Q222" s="10"/>
    </row>
    <row r="223">
      <c r="G223" s="6"/>
      <c r="H223" s="6"/>
      <c r="I223" s="6"/>
      <c r="J223" s="6"/>
      <c r="O223" s="10"/>
      <c r="P223" s="10"/>
      <c r="Q223" s="10"/>
    </row>
    <row r="224">
      <c r="G224" s="6"/>
      <c r="H224" s="6"/>
      <c r="I224" s="6"/>
      <c r="J224" s="6"/>
      <c r="O224" s="10"/>
      <c r="P224" s="10"/>
      <c r="Q224" s="10"/>
    </row>
    <row r="225">
      <c r="G225" s="6"/>
      <c r="H225" s="6"/>
      <c r="I225" s="6"/>
      <c r="J225" s="6"/>
      <c r="O225" s="10"/>
      <c r="P225" s="10"/>
      <c r="Q225" s="10"/>
    </row>
    <row r="226">
      <c r="G226" s="6"/>
      <c r="H226" s="6"/>
      <c r="I226" s="6"/>
      <c r="J226" s="6"/>
      <c r="O226" s="10"/>
      <c r="P226" s="10"/>
      <c r="Q226" s="10"/>
    </row>
    <row r="227">
      <c r="G227" s="6"/>
      <c r="H227" s="6"/>
      <c r="I227" s="6"/>
      <c r="J227" s="6"/>
      <c r="O227" s="10"/>
      <c r="P227" s="10"/>
      <c r="Q227" s="10"/>
    </row>
    <row r="228">
      <c r="G228" s="6"/>
      <c r="H228" s="6"/>
      <c r="I228" s="6"/>
      <c r="J228" s="6"/>
      <c r="O228" s="10"/>
      <c r="P228" s="10"/>
      <c r="Q228" s="10"/>
    </row>
    <row r="229">
      <c r="G229" s="6"/>
      <c r="H229" s="6"/>
      <c r="I229" s="6"/>
      <c r="J229" s="6"/>
      <c r="O229" s="10"/>
      <c r="P229" s="10"/>
      <c r="Q229" s="10"/>
    </row>
    <row r="230">
      <c r="G230" s="6"/>
      <c r="H230" s="6"/>
      <c r="I230" s="6"/>
      <c r="J230" s="6"/>
      <c r="O230" s="10"/>
      <c r="P230" s="10"/>
      <c r="Q230" s="10"/>
    </row>
    <row r="231">
      <c r="G231" s="6"/>
      <c r="H231" s="6"/>
      <c r="I231" s="6"/>
      <c r="J231" s="6"/>
      <c r="O231" s="10"/>
      <c r="P231" s="10"/>
      <c r="Q231" s="10"/>
    </row>
    <row r="232">
      <c r="G232" s="6"/>
      <c r="H232" s="6"/>
      <c r="I232" s="6"/>
      <c r="J232" s="6"/>
      <c r="O232" s="10"/>
      <c r="P232" s="10"/>
      <c r="Q232" s="10"/>
    </row>
    <row r="233">
      <c r="G233" s="6"/>
      <c r="H233" s="6"/>
      <c r="I233" s="6"/>
      <c r="J233" s="6"/>
      <c r="O233" s="10"/>
      <c r="P233" s="10"/>
      <c r="Q233" s="10"/>
    </row>
    <row r="234">
      <c r="G234" s="6"/>
      <c r="H234" s="6"/>
      <c r="I234" s="6"/>
      <c r="J234" s="6"/>
      <c r="O234" s="10"/>
      <c r="P234" s="10"/>
      <c r="Q234" s="10"/>
    </row>
    <row r="235">
      <c r="G235" s="6"/>
      <c r="H235" s="6"/>
      <c r="I235" s="6"/>
      <c r="J235" s="6"/>
      <c r="O235" s="10"/>
      <c r="P235" s="10"/>
      <c r="Q235" s="10"/>
    </row>
    <row r="236">
      <c r="G236" s="6"/>
      <c r="H236" s="6"/>
      <c r="I236" s="6"/>
      <c r="J236" s="6"/>
      <c r="O236" s="10"/>
      <c r="P236" s="10"/>
      <c r="Q236" s="10"/>
    </row>
    <row r="237">
      <c r="G237" s="6"/>
      <c r="H237" s="6"/>
      <c r="I237" s="6"/>
      <c r="J237" s="6"/>
      <c r="O237" s="10"/>
      <c r="P237" s="10"/>
      <c r="Q237" s="10"/>
    </row>
    <row r="238">
      <c r="G238" s="6"/>
      <c r="H238" s="6"/>
      <c r="I238" s="6"/>
      <c r="J238" s="6"/>
      <c r="O238" s="10"/>
      <c r="P238" s="10"/>
      <c r="Q238" s="10"/>
    </row>
    <row r="239">
      <c r="G239" s="6"/>
      <c r="H239" s="6"/>
      <c r="I239" s="6"/>
      <c r="J239" s="6"/>
      <c r="O239" s="10"/>
      <c r="P239" s="10"/>
      <c r="Q239" s="10"/>
    </row>
    <row r="240">
      <c r="G240" s="6"/>
      <c r="H240" s="6"/>
      <c r="I240" s="6"/>
      <c r="J240" s="6"/>
      <c r="O240" s="10"/>
      <c r="P240" s="10"/>
      <c r="Q240" s="10"/>
    </row>
    <row r="241">
      <c r="G241" s="6"/>
      <c r="H241" s="6"/>
      <c r="I241" s="6"/>
      <c r="J241" s="6"/>
      <c r="O241" s="10"/>
      <c r="P241" s="10"/>
      <c r="Q241" s="10"/>
    </row>
    <row r="242">
      <c r="G242" s="6"/>
      <c r="H242" s="6"/>
      <c r="I242" s="6"/>
      <c r="J242" s="6"/>
      <c r="O242" s="10"/>
      <c r="P242" s="10"/>
      <c r="Q242" s="10"/>
    </row>
    <row r="243">
      <c r="G243" s="6"/>
      <c r="H243" s="6"/>
      <c r="I243" s="6"/>
      <c r="J243" s="6"/>
      <c r="O243" s="10"/>
      <c r="P243" s="10"/>
      <c r="Q243" s="10"/>
    </row>
    <row r="244">
      <c r="G244" s="6"/>
      <c r="H244" s="6"/>
      <c r="I244" s="6"/>
      <c r="J244" s="6"/>
      <c r="O244" s="10"/>
      <c r="P244" s="10"/>
      <c r="Q244" s="10"/>
    </row>
    <row r="245">
      <c r="G245" s="6"/>
      <c r="H245" s="6"/>
      <c r="I245" s="6"/>
      <c r="J245" s="6"/>
      <c r="O245" s="10"/>
      <c r="P245" s="10"/>
      <c r="Q245" s="10"/>
    </row>
    <row r="246">
      <c r="G246" s="6"/>
      <c r="H246" s="6"/>
      <c r="I246" s="6"/>
      <c r="J246" s="6"/>
      <c r="O246" s="10"/>
      <c r="P246" s="10"/>
      <c r="Q246" s="10"/>
    </row>
    <row r="247">
      <c r="G247" s="6"/>
      <c r="H247" s="6"/>
      <c r="I247" s="6"/>
      <c r="J247" s="6"/>
      <c r="O247" s="10"/>
      <c r="P247" s="10"/>
      <c r="Q247" s="10"/>
    </row>
    <row r="248">
      <c r="G248" s="6"/>
      <c r="H248" s="6"/>
      <c r="I248" s="6"/>
      <c r="J248" s="6"/>
      <c r="O248" s="10"/>
      <c r="P248" s="10"/>
      <c r="Q248" s="10"/>
    </row>
    <row r="249">
      <c r="G249" s="6"/>
      <c r="H249" s="6"/>
      <c r="I249" s="6"/>
      <c r="J249" s="6"/>
      <c r="O249" s="10"/>
      <c r="P249" s="10"/>
      <c r="Q249" s="10"/>
    </row>
    <row r="250">
      <c r="G250" s="6"/>
      <c r="H250" s="6"/>
      <c r="I250" s="6"/>
      <c r="J250" s="6"/>
      <c r="O250" s="10"/>
      <c r="P250" s="10"/>
      <c r="Q250" s="10"/>
    </row>
    <row r="251">
      <c r="G251" s="6"/>
      <c r="H251" s="6"/>
      <c r="I251" s="6"/>
      <c r="J251" s="6"/>
      <c r="O251" s="10"/>
      <c r="P251" s="10"/>
      <c r="Q251" s="10"/>
    </row>
    <row r="252">
      <c r="G252" s="6"/>
      <c r="H252" s="6"/>
      <c r="I252" s="6"/>
      <c r="J252" s="6"/>
      <c r="O252" s="10"/>
      <c r="P252" s="10"/>
      <c r="Q252" s="10"/>
    </row>
    <row r="253">
      <c r="G253" s="6"/>
      <c r="H253" s="6"/>
      <c r="I253" s="6"/>
      <c r="J253" s="6"/>
      <c r="O253" s="10"/>
      <c r="P253" s="10"/>
      <c r="Q253" s="10"/>
    </row>
    <row r="254">
      <c r="G254" s="6"/>
      <c r="H254" s="6"/>
      <c r="I254" s="6"/>
      <c r="J254" s="6"/>
      <c r="O254" s="10"/>
      <c r="P254" s="10"/>
      <c r="Q254" s="10"/>
    </row>
    <row r="255">
      <c r="G255" s="6"/>
      <c r="H255" s="6"/>
      <c r="I255" s="6"/>
      <c r="J255" s="6"/>
      <c r="O255" s="10"/>
      <c r="P255" s="10"/>
      <c r="Q255" s="10"/>
    </row>
    <row r="256">
      <c r="G256" s="6"/>
      <c r="H256" s="6"/>
      <c r="I256" s="6"/>
      <c r="J256" s="6"/>
      <c r="O256" s="10"/>
      <c r="P256" s="10"/>
      <c r="Q256" s="10"/>
    </row>
    <row r="257">
      <c r="G257" s="6"/>
      <c r="H257" s="6"/>
      <c r="I257" s="6"/>
      <c r="J257" s="6"/>
      <c r="O257" s="10"/>
      <c r="P257" s="10"/>
      <c r="Q257" s="10"/>
    </row>
    <row r="258">
      <c r="G258" s="6"/>
      <c r="H258" s="6"/>
      <c r="I258" s="6"/>
      <c r="J258" s="6"/>
      <c r="O258" s="10"/>
      <c r="P258" s="10"/>
      <c r="Q258" s="10"/>
    </row>
    <row r="259">
      <c r="G259" s="6"/>
      <c r="H259" s="6"/>
      <c r="I259" s="6"/>
      <c r="J259" s="6"/>
      <c r="O259" s="10"/>
      <c r="P259" s="10"/>
      <c r="Q259" s="10"/>
    </row>
    <row r="260">
      <c r="G260" s="6"/>
      <c r="H260" s="6"/>
      <c r="I260" s="6"/>
      <c r="J260" s="6"/>
      <c r="O260" s="10"/>
      <c r="P260" s="10"/>
      <c r="Q260" s="10"/>
    </row>
    <row r="261">
      <c r="G261" s="6"/>
      <c r="H261" s="6"/>
      <c r="I261" s="6"/>
      <c r="J261" s="6"/>
      <c r="O261" s="10"/>
      <c r="P261" s="10"/>
      <c r="Q261" s="10"/>
    </row>
    <row r="262">
      <c r="G262" s="6"/>
      <c r="H262" s="6"/>
      <c r="I262" s="6"/>
      <c r="J262" s="6"/>
      <c r="O262" s="10"/>
      <c r="P262" s="10"/>
      <c r="Q262" s="10"/>
    </row>
    <row r="263">
      <c r="G263" s="6"/>
      <c r="H263" s="6"/>
      <c r="I263" s="6"/>
      <c r="J263" s="6"/>
      <c r="O263" s="10"/>
      <c r="P263" s="10"/>
      <c r="Q263" s="10"/>
    </row>
    <row r="264">
      <c r="G264" s="6"/>
      <c r="H264" s="6"/>
      <c r="I264" s="6"/>
      <c r="J264" s="6"/>
      <c r="O264" s="10"/>
      <c r="P264" s="10"/>
      <c r="Q264" s="10"/>
    </row>
    <row r="265">
      <c r="G265" s="6"/>
      <c r="H265" s="6"/>
      <c r="I265" s="6"/>
      <c r="J265" s="6"/>
      <c r="O265" s="10"/>
      <c r="P265" s="10"/>
      <c r="Q265" s="10"/>
    </row>
    <row r="266">
      <c r="G266" s="6"/>
      <c r="H266" s="6"/>
      <c r="I266" s="6"/>
      <c r="J266" s="6"/>
      <c r="O266" s="10"/>
      <c r="P266" s="10"/>
      <c r="Q266" s="10"/>
    </row>
    <row r="267">
      <c r="G267" s="6"/>
      <c r="H267" s="6"/>
      <c r="I267" s="6"/>
      <c r="J267" s="6"/>
      <c r="O267" s="10"/>
      <c r="P267" s="10"/>
      <c r="Q267" s="10"/>
    </row>
    <row r="268">
      <c r="G268" s="6"/>
      <c r="H268" s="6"/>
      <c r="I268" s="6"/>
      <c r="J268" s="6"/>
      <c r="O268" s="10"/>
      <c r="P268" s="10"/>
      <c r="Q268" s="10"/>
    </row>
    <row r="269">
      <c r="G269" s="6"/>
      <c r="H269" s="6"/>
      <c r="I269" s="6"/>
      <c r="J269" s="6"/>
      <c r="O269" s="10"/>
      <c r="P269" s="10"/>
      <c r="Q269" s="10"/>
    </row>
    <row r="270">
      <c r="G270" s="6"/>
      <c r="H270" s="6"/>
      <c r="I270" s="6"/>
      <c r="J270" s="6"/>
      <c r="O270" s="10"/>
      <c r="P270" s="10"/>
      <c r="Q270" s="10"/>
    </row>
    <row r="271">
      <c r="G271" s="6"/>
      <c r="H271" s="6"/>
      <c r="I271" s="6"/>
      <c r="J271" s="6"/>
      <c r="O271" s="10"/>
      <c r="P271" s="10"/>
      <c r="Q271" s="10"/>
    </row>
    <row r="272">
      <c r="G272" s="6"/>
      <c r="H272" s="6"/>
      <c r="I272" s="6"/>
      <c r="J272" s="6"/>
      <c r="O272" s="10"/>
      <c r="P272" s="10"/>
      <c r="Q272" s="10"/>
    </row>
    <row r="273">
      <c r="G273" s="6"/>
      <c r="H273" s="6"/>
      <c r="I273" s="6"/>
      <c r="J273" s="6"/>
      <c r="O273" s="10"/>
      <c r="P273" s="10"/>
      <c r="Q273" s="10"/>
    </row>
    <row r="274">
      <c r="G274" s="6"/>
      <c r="H274" s="6"/>
      <c r="I274" s="6"/>
      <c r="J274" s="6"/>
      <c r="O274" s="10"/>
      <c r="P274" s="10"/>
      <c r="Q274" s="10"/>
    </row>
    <row r="275">
      <c r="G275" s="6"/>
      <c r="H275" s="6"/>
      <c r="I275" s="6"/>
      <c r="J275" s="6"/>
      <c r="O275" s="10"/>
      <c r="P275" s="10"/>
      <c r="Q275" s="10"/>
    </row>
    <row r="276">
      <c r="G276" s="6"/>
      <c r="H276" s="6"/>
      <c r="I276" s="6"/>
      <c r="J276" s="6"/>
      <c r="O276" s="10"/>
      <c r="P276" s="10"/>
      <c r="Q276" s="10"/>
    </row>
    <row r="277">
      <c r="G277" s="6"/>
      <c r="H277" s="6"/>
      <c r="I277" s="6"/>
      <c r="J277" s="6"/>
      <c r="O277" s="10"/>
      <c r="P277" s="10"/>
      <c r="Q277" s="10"/>
    </row>
    <row r="278">
      <c r="G278" s="6"/>
      <c r="H278" s="6"/>
      <c r="I278" s="6"/>
      <c r="J278" s="6"/>
      <c r="O278" s="10"/>
      <c r="P278" s="10"/>
      <c r="Q278" s="10"/>
    </row>
    <row r="279">
      <c r="G279" s="6"/>
      <c r="H279" s="6"/>
      <c r="I279" s="6"/>
      <c r="J279" s="6"/>
      <c r="O279" s="10"/>
      <c r="P279" s="10"/>
      <c r="Q279" s="10"/>
    </row>
    <row r="280">
      <c r="G280" s="6"/>
      <c r="H280" s="6"/>
      <c r="I280" s="6"/>
      <c r="J280" s="6"/>
      <c r="O280" s="10"/>
      <c r="P280" s="10"/>
      <c r="Q280" s="10"/>
    </row>
    <row r="281">
      <c r="G281" s="6"/>
      <c r="H281" s="6"/>
      <c r="I281" s="6"/>
      <c r="J281" s="6"/>
      <c r="O281" s="10"/>
      <c r="P281" s="10"/>
      <c r="Q281" s="10"/>
    </row>
    <row r="282">
      <c r="G282" s="6"/>
      <c r="H282" s="6"/>
      <c r="I282" s="6"/>
      <c r="J282" s="6"/>
      <c r="O282" s="10"/>
      <c r="P282" s="10"/>
      <c r="Q282" s="10"/>
    </row>
    <row r="283">
      <c r="G283" s="6"/>
      <c r="H283" s="6"/>
      <c r="I283" s="6"/>
      <c r="J283" s="6"/>
      <c r="O283" s="10"/>
      <c r="P283" s="10"/>
      <c r="Q283" s="10"/>
    </row>
    <row r="284">
      <c r="G284" s="6"/>
      <c r="H284" s="6"/>
      <c r="I284" s="6"/>
      <c r="J284" s="6"/>
      <c r="O284" s="10"/>
      <c r="P284" s="10"/>
      <c r="Q284" s="10"/>
    </row>
    <row r="285">
      <c r="G285" s="6"/>
      <c r="H285" s="6"/>
      <c r="I285" s="6"/>
      <c r="J285" s="6"/>
      <c r="O285" s="10"/>
      <c r="P285" s="10"/>
      <c r="Q285" s="10"/>
    </row>
    <row r="286">
      <c r="G286" s="6"/>
      <c r="H286" s="6"/>
      <c r="I286" s="6"/>
      <c r="J286" s="6"/>
      <c r="O286" s="10"/>
      <c r="P286" s="10"/>
      <c r="Q286" s="10"/>
    </row>
    <row r="287">
      <c r="G287" s="6"/>
      <c r="H287" s="6"/>
      <c r="I287" s="6"/>
      <c r="J287" s="6"/>
      <c r="O287" s="10"/>
      <c r="P287" s="10"/>
      <c r="Q287" s="10"/>
    </row>
    <row r="288">
      <c r="G288" s="6"/>
      <c r="H288" s="6"/>
      <c r="I288" s="6"/>
      <c r="J288" s="6"/>
      <c r="O288" s="10"/>
      <c r="P288" s="10"/>
      <c r="Q288" s="10"/>
    </row>
    <row r="289">
      <c r="G289" s="6"/>
      <c r="H289" s="6"/>
      <c r="I289" s="6"/>
      <c r="J289" s="6"/>
      <c r="O289" s="10"/>
      <c r="P289" s="10"/>
      <c r="Q289" s="10"/>
    </row>
    <row r="290">
      <c r="G290" s="6"/>
      <c r="H290" s="6"/>
      <c r="I290" s="6"/>
      <c r="J290" s="6"/>
      <c r="O290" s="10"/>
      <c r="P290" s="10"/>
      <c r="Q290" s="10"/>
    </row>
    <row r="291">
      <c r="G291" s="6"/>
      <c r="H291" s="6"/>
      <c r="I291" s="6"/>
      <c r="J291" s="6"/>
      <c r="O291" s="10"/>
      <c r="P291" s="10"/>
      <c r="Q291" s="10"/>
    </row>
    <row r="292">
      <c r="G292" s="6"/>
      <c r="H292" s="6"/>
      <c r="I292" s="6"/>
      <c r="J292" s="6"/>
      <c r="O292" s="10"/>
      <c r="P292" s="10"/>
      <c r="Q292" s="10"/>
    </row>
    <row r="293">
      <c r="G293" s="6"/>
      <c r="H293" s="6"/>
      <c r="I293" s="6"/>
      <c r="J293" s="6"/>
      <c r="O293" s="10"/>
      <c r="P293" s="10"/>
      <c r="Q293" s="10"/>
    </row>
    <row r="294">
      <c r="G294" s="6"/>
      <c r="H294" s="6"/>
      <c r="I294" s="6"/>
      <c r="J294" s="6"/>
      <c r="O294" s="10"/>
      <c r="P294" s="10"/>
      <c r="Q294" s="10"/>
    </row>
    <row r="295">
      <c r="G295" s="6"/>
      <c r="H295" s="6"/>
      <c r="I295" s="6"/>
      <c r="J295" s="6"/>
      <c r="O295" s="10"/>
      <c r="P295" s="10"/>
      <c r="Q295" s="10"/>
    </row>
    <row r="296">
      <c r="G296" s="6"/>
      <c r="H296" s="6"/>
      <c r="I296" s="6"/>
      <c r="J296" s="6"/>
      <c r="O296" s="10"/>
      <c r="P296" s="10"/>
      <c r="Q296" s="10"/>
    </row>
    <row r="297">
      <c r="G297" s="6"/>
      <c r="H297" s="6"/>
      <c r="I297" s="6"/>
      <c r="J297" s="6"/>
      <c r="O297" s="10"/>
      <c r="P297" s="10"/>
      <c r="Q297" s="10"/>
    </row>
    <row r="298">
      <c r="G298" s="6"/>
      <c r="H298" s="6"/>
      <c r="I298" s="6"/>
      <c r="J298" s="6"/>
      <c r="O298" s="10"/>
      <c r="P298" s="10"/>
      <c r="Q298" s="10"/>
    </row>
    <row r="299">
      <c r="G299" s="6"/>
      <c r="H299" s="6"/>
      <c r="I299" s="6"/>
      <c r="J299" s="6"/>
      <c r="O299" s="10"/>
      <c r="P299" s="10"/>
      <c r="Q299" s="10"/>
    </row>
    <row r="300">
      <c r="G300" s="6"/>
      <c r="H300" s="6"/>
      <c r="I300" s="6"/>
      <c r="J300" s="6"/>
      <c r="O300" s="10"/>
      <c r="P300" s="10"/>
      <c r="Q300" s="10"/>
    </row>
    <row r="301">
      <c r="G301" s="6"/>
      <c r="H301" s="6"/>
      <c r="I301" s="6"/>
      <c r="J301" s="6"/>
      <c r="O301" s="10"/>
      <c r="P301" s="10"/>
      <c r="Q301" s="10"/>
    </row>
    <row r="302">
      <c r="G302" s="6"/>
      <c r="H302" s="6"/>
      <c r="I302" s="6"/>
      <c r="J302" s="6"/>
      <c r="O302" s="10"/>
      <c r="P302" s="10"/>
      <c r="Q302" s="10"/>
    </row>
    <row r="303">
      <c r="G303" s="6"/>
      <c r="H303" s="6"/>
      <c r="I303" s="6"/>
      <c r="J303" s="6"/>
      <c r="O303" s="10"/>
      <c r="P303" s="10"/>
      <c r="Q303" s="10"/>
    </row>
    <row r="304">
      <c r="G304" s="6"/>
      <c r="H304" s="6"/>
      <c r="I304" s="6"/>
      <c r="J304" s="6"/>
      <c r="O304" s="10"/>
      <c r="P304" s="10"/>
      <c r="Q304" s="10"/>
    </row>
    <row r="305">
      <c r="G305" s="6"/>
      <c r="H305" s="6"/>
      <c r="I305" s="6"/>
      <c r="J305" s="6"/>
      <c r="O305" s="10"/>
      <c r="P305" s="10"/>
      <c r="Q305" s="10"/>
    </row>
    <row r="306">
      <c r="G306" s="6"/>
      <c r="H306" s="6"/>
      <c r="I306" s="6"/>
      <c r="J306" s="6"/>
      <c r="O306" s="10"/>
      <c r="P306" s="10"/>
      <c r="Q306" s="10"/>
    </row>
    <row r="307">
      <c r="G307" s="6"/>
      <c r="H307" s="6"/>
      <c r="I307" s="6"/>
      <c r="J307" s="6"/>
      <c r="O307" s="10"/>
      <c r="P307" s="10"/>
      <c r="Q307" s="10"/>
    </row>
    <row r="308">
      <c r="G308" s="6"/>
      <c r="H308" s="6"/>
      <c r="I308" s="6"/>
      <c r="J308" s="6"/>
      <c r="O308" s="10"/>
      <c r="P308" s="10"/>
      <c r="Q308" s="10"/>
    </row>
    <row r="309">
      <c r="G309" s="6"/>
      <c r="H309" s="6"/>
      <c r="I309" s="6"/>
      <c r="J309" s="6"/>
      <c r="O309" s="10"/>
      <c r="P309" s="10"/>
      <c r="Q309" s="10"/>
    </row>
    <row r="310">
      <c r="G310" s="6"/>
      <c r="H310" s="6"/>
      <c r="I310" s="6"/>
      <c r="J310" s="6"/>
      <c r="O310" s="10"/>
      <c r="P310" s="10"/>
      <c r="Q310" s="10"/>
    </row>
    <row r="311">
      <c r="G311" s="6"/>
      <c r="H311" s="6"/>
      <c r="I311" s="6"/>
      <c r="J311" s="6"/>
      <c r="O311" s="10"/>
      <c r="P311" s="10"/>
      <c r="Q311" s="10"/>
    </row>
    <row r="312">
      <c r="G312" s="6"/>
      <c r="H312" s="6"/>
      <c r="I312" s="6"/>
      <c r="J312" s="6"/>
      <c r="O312" s="10"/>
      <c r="P312" s="10"/>
      <c r="Q312" s="10"/>
    </row>
    <row r="313">
      <c r="G313" s="6"/>
      <c r="H313" s="6"/>
      <c r="I313" s="6"/>
      <c r="J313" s="6"/>
      <c r="O313" s="10"/>
      <c r="P313" s="10"/>
      <c r="Q313" s="10"/>
    </row>
    <row r="314">
      <c r="G314" s="6"/>
      <c r="H314" s="6"/>
      <c r="I314" s="6"/>
      <c r="J314" s="6"/>
      <c r="O314" s="10"/>
      <c r="P314" s="10"/>
      <c r="Q314" s="10"/>
    </row>
    <row r="315">
      <c r="G315" s="6"/>
      <c r="H315" s="6"/>
      <c r="I315" s="6"/>
      <c r="J315" s="6"/>
      <c r="O315" s="10"/>
      <c r="P315" s="10"/>
      <c r="Q315" s="10"/>
    </row>
    <row r="316">
      <c r="G316" s="6"/>
      <c r="H316" s="6"/>
      <c r="I316" s="6"/>
      <c r="J316" s="6"/>
      <c r="O316" s="10"/>
      <c r="P316" s="10"/>
      <c r="Q316" s="10"/>
    </row>
    <row r="317">
      <c r="G317" s="6"/>
      <c r="H317" s="6"/>
      <c r="I317" s="6"/>
      <c r="J317" s="6"/>
      <c r="O317" s="10"/>
      <c r="P317" s="10"/>
      <c r="Q317" s="10"/>
    </row>
    <row r="318">
      <c r="G318" s="6"/>
      <c r="H318" s="6"/>
      <c r="I318" s="6"/>
      <c r="J318" s="6"/>
      <c r="O318" s="10"/>
      <c r="P318" s="10"/>
      <c r="Q318" s="10"/>
    </row>
    <row r="319">
      <c r="G319" s="6"/>
      <c r="H319" s="6"/>
      <c r="I319" s="6"/>
      <c r="J319" s="6"/>
      <c r="O319" s="10"/>
      <c r="P319" s="10"/>
      <c r="Q319" s="10"/>
    </row>
    <row r="320">
      <c r="G320" s="6"/>
      <c r="H320" s="6"/>
      <c r="I320" s="6"/>
      <c r="J320" s="6"/>
      <c r="O320" s="10"/>
      <c r="P320" s="10"/>
      <c r="Q320" s="10"/>
    </row>
    <row r="321">
      <c r="G321" s="6"/>
      <c r="H321" s="6"/>
      <c r="I321" s="6"/>
      <c r="J321" s="6"/>
      <c r="O321" s="10"/>
      <c r="P321" s="10"/>
      <c r="Q321" s="10"/>
    </row>
    <row r="322">
      <c r="G322" s="6"/>
      <c r="H322" s="6"/>
      <c r="I322" s="6"/>
      <c r="J322" s="6"/>
      <c r="O322" s="10"/>
      <c r="P322" s="10"/>
      <c r="Q322" s="10"/>
    </row>
    <row r="323">
      <c r="G323" s="6"/>
      <c r="H323" s="6"/>
      <c r="I323" s="6"/>
      <c r="J323" s="6"/>
      <c r="O323" s="10"/>
      <c r="P323" s="10"/>
      <c r="Q323" s="10"/>
    </row>
    <row r="324">
      <c r="G324" s="6"/>
      <c r="H324" s="6"/>
      <c r="I324" s="6"/>
      <c r="J324" s="6"/>
      <c r="O324" s="10"/>
      <c r="P324" s="10"/>
      <c r="Q324" s="10"/>
    </row>
    <row r="325">
      <c r="G325" s="6"/>
      <c r="H325" s="6"/>
      <c r="I325" s="6"/>
      <c r="J325" s="6"/>
      <c r="O325" s="10"/>
      <c r="P325" s="10"/>
      <c r="Q325" s="10"/>
    </row>
    <row r="326">
      <c r="G326" s="6"/>
      <c r="H326" s="6"/>
      <c r="I326" s="6"/>
      <c r="J326" s="6"/>
      <c r="O326" s="10"/>
      <c r="P326" s="10"/>
      <c r="Q326" s="10"/>
    </row>
    <row r="327">
      <c r="G327" s="6"/>
      <c r="H327" s="6"/>
      <c r="I327" s="6"/>
      <c r="J327" s="6"/>
      <c r="O327" s="10"/>
      <c r="P327" s="10"/>
      <c r="Q327" s="10"/>
    </row>
    <row r="328">
      <c r="G328" s="6"/>
      <c r="H328" s="6"/>
      <c r="I328" s="6"/>
      <c r="J328" s="6"/>
      <c r="O328" s="10"/>
      <c r="P328" s="10"/>
      <c r="Q328" s="10"/>
    </row>
    <row r="329">
      <c r="G329" s="6"/>
      <c r="H329" s="6"/>
      <c r="I329" s="6"/>
      <c r="J329" s="6"/>
      <c r="O329" s="10"/>
      <c r="P329" s="10"/>
      <c r="Q329" s="10"/>
    </row>
    <row r="330">
      <c r="G330" s="6"/>
      <c r="H330" s="6"/>
      <c r="I330" s="6"/>
      <c r="J330" s="6"/>
      <c r="O330" s="10"/>
      <c r="P330" s="10"/>
      <c r="Q330" s="10"/>
    </row>
    <row r="331">
      <c r="G331" s="6"/>
      <c r="H331" s="6"/>
      <c r="I331" s="6"/>
      <c r="J331" s="6"/>
      <c r="O331" s="10"/>
      <c r="P331" s="10"/>
      <c r="Q331" s="10"/>
    </row>
    <row r="332">
      <c r="G332" s="6"/>
      <c r="H332" s="6"/>
      <c r="I332" s="6"/>
      <c r="J332" s="6"/>
      <c r="O332" s="10"/>
      <c r="P332" s="10"/>
      <c r="Q332" s="10"/>
    </row>
    <row r="333">
      <c r="G333" s="6"/>
      <c r="H333" s="6"/>
      <c r="I333" s="6"/>
      <c r="J333" s="6"/>
      <c r="O333" s="10"/>
      <c r="P333" s="10"/>
      <c r="Q333" s="10"/>
    </row>
    <row r="334">
      <c r="G334" s="6"/>
      <c r="H334" s="6"/>
      <c r="I334" s="6"/>
      <c r="J334" s="6"/>
      <c r="O334" s="10"/>
      <c r="P334" s="10"/>
      <c r="Q334" s="10"/>
    </row>
    <row r="335">
      <c r="G335" s="6"/>
      <c r="H335" s="6"/>
      <c r="I335" s="6"/>
      <c r="J335" s="6"/>
      <c r="O335" s="10"/>
      <c r="P335" s="10"/>
      <c r="Q335" s="10"/>
    </row>
    <row r="336">
      <c r="G336" s="6"/>
      <c r="H336" s="6"/>
      <c r="I336" s="6"/>
      <c r="J336" s="6"/>
      <c r="O336" s="10"/>
      <c r="P336" s="10"/>
      <c r="Q336" s="10"/>
    </row>
    <row r="337">
      <c r="G337" s="6"/>
      <c r="H337" s="6"/>
      <c r="I337" s="6"/>
      <c r="J337" s="6"/>
      <c r="O337" s="10"/>
      <c r="P337" s="10"/>
      <c r="Q337" s="10"/>
    </row>
    <row r="338">
      <c r="G338" s="6"/>
      <c r="H338" s="6"/>
      <c r="I338" s="6"/>
      <c r="J338" s="6"/>
      <c r="O338" s="10"/>
      <c r="P338" s="10"/>
      <c r="Q338" s="10"/>
    </row>
    <row r="339">
      <c r="G339" s="6"/>
      <c r="H339" s="6"/>
      <c r="I339" s="6"/>
      <c r="J339" s="6"/>
      <c r="O339" s="10"/>
      <c r="P339" s="10"/>
      <c r="Q339" s="10"/>
    </row>
    <row r="340">
      <c r="G340" s="6"/>
      <c r="H340" s="6"/>
      <c r="I340" s="6"/>
      <c r="J340" s="6"/>
      <c r="O340" s="10"/>
      <c r="P340" s="10"/>
      <c r="Q340" s="10"/>
    </row>
    <row r="341">
      <c r="G341" s="6"/>
      <c r="H341" s="6"/>
      <c r="I341" s="6"/>
      <c r="J341" s="6"/>
      <c r="O341" s="10"/>
      <c r="P341" s="10"/>
      <c r="Q341" s="10"/>
    </row>
    <row r="342">
      <c r="G342" s="6"/>
      <c r="H342" s="6"/>
      <c r="I342" s="6"/>
      <c r="J342" s="6"/>
      <c r="O342" s="10"/>
      <c r="P342" s="10"/>
      <c r="Q342" s="10"/>
    </row>
    <row r="343">
      <c r="G343" s="6"/>
      <c r="H343" s="6"/>
      <c r="I343" s="6"/>
      <c r="J343" s="6"/>
      <c r="O343" s="10"/>
      <c r="P343" s="10"/>
      <c r="Q343" s="10"/>
    </row>
    <row r="344">
      <c r="G344" s="6"/>
      <c r="H344" s="6"/>
      <c r="I344" s="6"/>
      <c r="J344" s="6"/>
      <c r="O344" s="10"/>
      <c r="P344" s="10"/>
      <c r="Q344" s="10"/>
    </row>
    <row r="345">
      <c r="G345" s="6"/>
      <c r="H345" s="6"/>
      <c r="I345" s="6"/>
      <c r="J345" s="6"/>
      <c r="O345" s="10"/>
      <c r="P345" s="10"/>
      <c r="Q345" s="10"/>
    </row>
    <row r="346">
      <c r="G346" s="6"/>
      <c r="H346" s="6"/>
      <c r="I346" s="6"/>
      <c r="J346" s="6"/>
      <c r="O346" s="10"/>
      <c r="P346" s="10"/>
      <c r="Q346" s="10"/>
    </row>
    <row r="347">
      <c r="G347" s="6"/>
      <c r="H347" s="6"/>
      <c r="I347" s="6"/>
      <c r="J347" s="6"/>
      <c r="O347" s="10"/>
      <c r="P347" s="10"/>
      <c r="Q347" s="10"/>
    </row>
    <row r="348">
      <c r="G348" s="6"/>
      <c r="H348" s="6"/>
      <c r="I348" s="6"/>
      <c r="J348" s="6"/>
      <c r="O348" s="10"/>
      <c r="P348" s="10"/>
      <c r="Q348" s="10"/>
    </row>
    <row r="349">
      <c r="G349" s="6"/>
      <c r="H349" s="6"/>
      <c r="I349" s="6"/>
      <c r="J349" s="6"/>
      <c r="O349" s="10"/>
      <c r="P349" s="10"/>
      <c r="Q349" s="10"/>
    </row>
    <row r="350">
      <c r="G350" s="6"/>
      <c r="H350" s="6"/>
      <c r="I350" s="6"/>
      <c r="J350" s="6"/>
      <c r="O350" s="10"/>
      <c r="P350" s="10"/>
      <c r="Q350" s="10"/>
    </row>
    <row r="351">
      <c r="G351" s="6"/>
      <c r="H351" s="6"/>
      <c r="I351" s="6"/>
      <c r="J351" s="6"/>
      <c r="O351" s="10"/>
      <c r="P351" s="10"/>
      <c r="Q351" s="10"/>
    </row>
    <row r="352">
      <c r="G352" s="6"/>
      <c r="H352" s="6"/>
      <c r="I352" s="6"/>
      <c r="J352" s="6"/>
      <c r="O352" s="10"/>
      <c r="P352" s="10"/>
      <c r="Q352" s="10"/>
    </row>
    <row r="353">
      <c r="G353" s="6"/>
      <c r="H353" s="6"/>
      <c r="I353" s="6"/>
      <c r="J353" s="6"/>
      <c r="O353" s="10"/>
      <c r="P353" s="10"/>
      <c r="Q353" s="10"/>
    </row>
    <row r="354">
      <c r="G354" s="6"/>
      <c r="H354" s="6"/>
      <c r="I354" s="6"/>
      <c r="J354" s="6"/>
      <c r="O354" s="10"/>
      <c r="P354" s="10"/>
      <c r="Q354" s="10"/>
    </row>
    <row r="355">
      <c r="G355" s="6"/>
      <c r="H355" s="6"/>
      <c r="I355" s="6"/>
      <c r="J355" s="6"/>
      <c r="O355" s="10"/>
      <c r="P355" s="10"/>
      <c r="Q355" s="10"/>
    </row>
    <row r="356">
      <c r="G356" s="6"/>
      <c r="H356" s="6"/>
      <c r="I356" s="6"/>
      <c r="J356" s="6"/>
      <c r="O356" s="10"/>
      <c r="P356" s="10"/>
      <c r="Q356" s="10"/>
    </row>
    <row r="357">
      <c r="G357" s="6"/>
      <c r="H357" s="6"/>
      <c r="I357" s="6"/>
      <c r="J357" s="6"/>
      <c r="O357" s="10"/>
      <c r="P357" s="10"/>
      <c r="Q357" s="10"/>
    </row>
    <row r="358">
      <c r="G358" s="6"/>
      <c r="H358" s="6"/>
      <c r="I358" s="6"/>
      <c r="J358" s="6"/>
      <c r="O358" s="10"/>
      <c r="P358" s="10"/>
      <c r="Q358" s="10"/>
    </row>
    <row r="359">
      <c r="G359" s="6"/>
      <c r="H359" s="6"/>
      <c r="I359" s="6"/>
      <c r="J359" s="6"/>
      <c r="O359" s="10"/>
      <c r="P359" s="10"/>
      <c r="Q359" s="10"/>
    </row>
    <row r="360">
      <c r="G360" s="6"/>
      <c r="H360" s="6"/>
      <c r="I360" s="6"/>
      <c r="J360" s="6"/>
      <c r="O360" s="10"/>
      <c r="P360" s="10"/>
      <c r="Q360" s="10"/>
    </row>
    <row r="361">
      <c r="G361" s="6"/>
      <c r="H361" s="6"/>
      <c r="I361" s="6"/>
      <c r="J361" s="6"/>
      <c r="O361" s="10"/>
      <c r="P361" s="10"/>
      <c r="Q361" s="10"/>
    </row>
    <row r="362">
      <c r="G362" s="6"/>
      <c r="H362" s="6"/>
      <c r="I362" s="6"/>
      <c r="J362" s="6"/>
      <c r="O362" s="10"/>
      <c r="P362" s="10"/>
      <c r="Q362" s="10"/>
    </row>
    <row r="363">
      <c r="G363" s="6"/>
      <c r="H363" s="6"/>
      <c r="I363" s="6"/>
      <c r="J363" s="6"/>
      <c r="O363" s="10"/>
      <c r="P363" s="10"/>
      <c r="Q363" s="10"/>
    </row>
    <row r="364">
      <c r="G364" s="6"/>
      <c r="H364" s="6"/>
      <c r="I364" s="6"/>
      <c r="J364" s="6"/>
      <c r="O364" s="10"/>
      <c r="P364" s="10"/>
      <c r="Q364" s="10"/>
    </row>
    <row r="365">
      <c r="G365" s="6"/>
      <c r="H365" s="6"/>
      <c r="I365" s="6"/>
      <c r="J365" s="6"/>
      <c r="O365" s="10"/>
      <c r="P365" s="10"/>
      <c r="Q365" s="10"/>
    </row>
    <row r="366">
      <c r="G366" s="6"/>
      <c r="H366" s="6"/>
      <c r="I366" s="6"/>
      <c r="J366" s="6"/>
      <c r="O366" s="10"/>
      <c r="P366" s="10"/>
      <c r="Q366" s="10"/>
    </row>
    <row r="367">
      <c r="G367" s="6"/>
      <c r="H367" s="6"/>
      <c r="I367" s="6"/>
      <c r="J367" s="6"/>
      <c r="O367" s="10"/>
      <c r="P367" s="10"/>
      <c r="Q367" s="10"/>
    </row>
    <row r="368">
      <c r="G368" s="6"/>
      <c r="H368" s="6"/>
      <c r="I368" s="6"/>
      <c r="J368" s="6"/>
      <c r="O368" s="10"/>
      <c r="P368" s="10"/>
      <c r="Q368" s="10"/>
    </row>
    <row r="369">
      <c r="G369" s="6"/>
      <c r="H369" s="6"/>
      <c r="I369" s="6"/>
      <c r="J369" s="6"/>
      <c r="O369" s="10"/>
      <c r="P369" s="10"/>
      <c r="Q369" s="10"/>
    </row>
    <row r="370">
      <c r="G370" s="6"/>
      <c r="H370" s="6"/>
      <c r="I370" s="6"/>
      <c r="J370" s="6"/>
      <c r="O370" s="10"/>
      <c r="P370" s="10"/>
      <c r="Q370" s="10"/>
    </row>
    <row r="371">
      <c r="G371" s="6"/>
      <c r="H371" s="6"/>
      <c r="I371" s="6"/>
      <c r="J371" s="6"/>
      <c r="O371" s="10"/>
      <c r="P371" s="10"/>
      <c r="Q371" s="10"/>
    </row>
    <row r="372">
      <c r="G372" s="6"/>
      <c r="H372" s="6"/>
      <c r="I372" s="6"/>
      <c r="J372" s="6"/>
      <c r="O372" s="10"/>
      <c r="P372" s="10"/>
      <c r="Q372" s="10"/>
    </row>
    <row r="373">
      <c r="G373" s="6"/>
      <c r="H373" s="6"/>
      <c r="I373" s="6"/>
      <c r="J373" s="6"/>
      <c r="O373" s="10"/>
      <c r="P373" s="10"/>
      <c r="Q373" s="10"/>
    </row>
    <row r="374">
      <c r="G374" s="6"/>
      <c r="H374" s="6"/>
      <c r="I374" s="6"/>
      <c r="J374" s="6"/>
      <c r="O374" s="10"/>
      <c r="P374" s="10"/>
      <c r="Q374" s="10"/>
    </row>
    <row r="375">
      <c r="G375" s="6"/>
      <c r="H375" s="6"/>
      <c r="I375" s="6"/>
      <c r="J375" s="6"/>
      <c r="O375" s="10"/>
      <c r="P375" s="10"/>
      <c r="Q375" s="10"/>
    </row>
    <row r="376">
      <c r="G376" s="6"/>
      <c r="H376" s="6"/>
      <c r="I376" s="6"/>
      <c r="J376" s="6"/>
      <c r="O376" s="10"/>
      <c r="P376" s="10"/>
      <c r="Q376" s="10"/>
    </row>
    <row r="377">
      <c r="G377" s="6"/>
      <c r="H377" s="6"/>
      <c r="I377" s="6"/>
      <c r="J377" s="6"/>
      <c r="O377" s="10"/>
      <c r="P377" s="10"/>
      <c r="Q377" s="10"/>
    </row>
    <row r="378">
      <c r="G378" s="6"/>
      <c r="H378" s="6"/>
      <c r="I378" s="6"/>
      <c r="J378" s="6"/>
      <c r="O378" s="10"/>
      <c r="P378" s="10"/>
      <c r="Q378" s="10"/>
    </row>
    <row r="379">
      <c r="G379" s="6"/>
      <c r="H379" s="6"/>
      <c r="I379" s="6"/>
      <c r="J379" s="6"/>
      <c r="O379" s="10"/>
      <c r="P379" s="10"/>
      <c r="Q379" s="10"/>
    </row>
    <row r="380">
      <c r="G380" s="6"/>
      <c r="H380" s="6"/>
      <c r="I380" s="6"/>
      <c r="J380" s="6"/>
      <c r="O380" s="10"/>
      <c r="P380" s="10"/>
      <c r="Q380" s="10"/>
    </row>
    <row r="381">
      <c r="G381" s="6"/>
      <c r="H381" s="6"/>
      <c r="I381" s="6"/>
      <c r="J381" s="6"/>
      <c r="O381" s="10"/>
      <c r="P381" s="10"/>
      <c r="Q381" s="10"/>
    </row>
    <row r="382">
      <c r="G382" s="6"/>
      <c r="H382" s="6"/>
      <c r="I382" s="6"/>
      <c r="J382" s="6"/>
      <c r="O382" s="10"/>
      <c r="P382" s="10"/>
      <c r="Q382" s="10"/>
    </row>
    <row r="383">
      <c r="G383" s="6"/>
      <c r="H383" s="6"/>
      <c r="I383" s="6"/>
      <c r="J383" s="6"/>
      <c r="O383" s="10"/>
      <c r="P383" s="10"/>
      <c r="Q383" s="10"/>
    </row>
    <row r="384">
      <c r="G384" s="6"/>
      <c r="H384" s="6"/>
      <c r="I384" s="6"/>
      <c r="J384" s="6"/>
      <c r="O384" s="10"/>
      <c r="P384" s="10"/>
      <c r="Q384" s="10"/>
    </row>
    <row r="385">
      <c r="G385" s="6"/>
      <c r="H385" s="6"/>
      <c r="I385" s="6"/>
      <c r="J385" s="6"/>
      <c r="O385" s="10"/>
      <c r="P385" s="10"/>
      <c r="Q385" s="10"/>
    </row>
    <row r="386">
      <c r="G386" s="6"/>
      <c r="H386" s="6"/>
      <c r="I386" s="6"/>
      <c r="J386" s="6"/>
      <c r="O386" s="10"/>
      <c r="P386" s="10"/>
      <c r="Q386" s="10"/>
    </row>
    <row r="387">
      <c r="G387" s="6"/>
      <c r="H387" s="6"/>
      <c r="I387" s="6"/>
      <c r="J387" s="6"/>
      <c r="O387" s="10"/>
      <c r="P387" s="10"/>
      <c r="Q387" s="10"/>
    </row>
    <row r="388">
      <c r="G388" s="6"/>
      <c r="H388" s="6"/>
      <c r="I388" s="6"/>
      <c r="J388" s="6"/>
      <c r="O388" s="10"/>
      <c r="P388" s="10"/>
      <c r="Q388" s="10"/>
    </row>
    <row r="389">
      <c r="G389" s="6"/>
      <c r="H389" s="6"/>
      <c r="I389" s="6"/>
      <c r="J389" s="6"/>
      <c r="O389" s="10"/>
      <c r="P389" s="10"/>
      <c r="Q389" s="10"/>
    </row>
    <row r="390">
      <c r="G390" s="6"/>
      <c r="H390" s="6"/>
      <c r="I390" s="6"/>
      <c r="J390" s="6"/>
      <c r="O390" s="10"/>
      <c r="P390" s="10"/>
      <c r="Q390" s="10"/>
    </row>
    <row r="391">
      <c r="G391" s="6"/>
      <c r="H391" s="6"/>
      <c r="I391" s="6"/>
      <c r="J391" s="6"/>
      <c r="O391" s="10"/>
      <c r="P391" s="10"/>
      <c r="Q391" s="10"/>
    </row>
    <row r="392">
      <c r="G392" s="6"/>
      <c r="H392" s="6"/>
      <c r="I392" s="6"/>
      <c r="J392" s="6"/>
      <c r="O392" s="10"/>
      <c r="P392" s="10"/>
      <c r="Q392" s="10"/>
    </row>
    <row r="393">
      <c r="G393" s="6"/>
      <c r="H393" s="6"/>
      <c r="I393" s="6"/>
      <c r="J393" s="6"/>
      <c r="O393" s="10"/>
      <c r="P393" s="10"/>
      <c r="Q393" s="10"/>
    </row>
    <row r="394">
      <c r="G394" s="6"/>
      <c r="H394" s="6"/>
      <c r="I394" s="6"/>
      <c r="J394" s="6"/>
      <c r="O394" s="10"/>
      <c r="P394" s="10"/>
      <c r="Q394" s="10"/>
    </row>
    <row r="395">
      <c r="G395" s="6"/>
      <c r="H395" s="6"/>
      <c r="I395" s="6"/>
      <c r="J395" s="6"/>
      <c r="O395" s="10"/>
      <c r="P395" s="10"/>
      <c r="Q395" s="10"/>
    </row>
    <row r="396">
      <c r="G396" s="6"/>
      <c r="H396" s="6"/>
      <c r="I396" s="6"/>
      <c r="J396" s="6"/>
      <c r="O396" s="10"/>
      <c r="P396" s="10"/>
      <c r="Q396" s="10"/>
    </row>
    <row r="397">
      <c r="G397" s="6"/>
      <c r="H397" s="6"/>
      <c r="I397" s="6"/>
      <c r="J397" s="6"/>
      <c r="O397" s="10"/>
      <c r="P397" s="10"/>
      <c r="Q397" s="10"/>
    </row>
    <row r="398">
      <c r="G398" s="6"/>
      <c r="H398" s="6"/>
      <c r="I398" s="6"/>
      <c r="J398" s="6"/>
      <c r="O398" s="10"/>
      <c r="P398" s="10"/>
      <c r="Q398" s="10"/>
    </row>
    <row r="399">
      <c r="G399" s="6"/>
      <c r="H399" s="6"/>
      <c r="I399" s="6"/>
      <c r="J399" s="6"/>
      <c r="O399" s="10"/>
      <c r="P399" s="10"/>
      <c r="Q399" s="10"/>
    </row>
    <row r="400">
      <c r="G400" s="6"/>
      <c r="H400" s="6"/>
      <c r="I400" s="6"/>
      <c r="J400" s="6"/>
      <c r="O400" s="10"/>
      <c r="P400" s="10"/>
      <c r="Q400" s="10"/>
    </row>
    <row r="401">
      <c r="G401" s="6"/>
      <c r="H401" s="6"/>
      <c r="I401" s="6"/>
      <c r="J401" s="6"/>
      <c r="O401" s="10"/>
      <c r="P401" s="10"/>
      <c r="Q401" s="10"/>
    </row>
    <row r="402">
      <c r="G402" s="6"/>
      <c r="H402" s="6"/>
      <c r="I402" s="6"/>
      <c r="J402" s="6"/>
      <c r="O402" s="10"/>
      <c r="P402" s="10"/>
      <c r="Q402" s="10"/>
    </row>
    <row r="403">
      <c r="G403" s="6"/>
      <c r="H403" s="6"/>
      <c r="I403" s="6"/>
      <c r="J403" s="6"/>
      <c r="O403" s="10"/>
      <c r="P403" s="10"/>
      <c r="Q403" s="10"/>
    </row>
    <row r="404">
      <c r="G404" s="6"/>
      <c r="H404" s="6"/>
      <c r="I404" s="6"/>
      <c r="J404" s="6"/>
      <c r="O404" s="10"/>
      <c r="P404" s="10"/>
      <c r="Q404" s="10"/>
    </row>
    <row r="405">
      <c r="G405" s="6"/>
      <c r="H405" s="6"/>
      <c r="I405" s="6"/>
      <c r="J405" s="6"/>
      <c r="O405" s="10"/>
      <c r="P405" s="10"/>
      <c r="Q405" s="10"/>
    </row>
    <row r="406">
      <c r="G406" s="6"/>
      <c r="H406" s="6"/>
      <c r="I406" s="6"/>
      <c r="J406" s="6"/>
      <c r="O406" s="10"/>
      <c r="P406" s="10"/>
      <c r="Q406" s="10"/>
    </row>
    <row r="407">
      <c r="G407" s="6"/>
      <c r="H407" s="6"/>
      <c r="I407" s="6"/>
      <c r="J407" s="6"/>
      <c r="O407" s="10"/>
      <c r="P407" s="10"/>
      <c r="Q407" s="10"/>
    </row>
    <row r="408">
      <c r="G408" s="6"/>
      <c r="H408" s="6"/>
      <c r="I408" s="6"/>
      <c r="J408" s="6"/>
      <c r="O408" s="10"/>
      <c r="P408" s="10"/>
      <c r="Q408" s="10"/>
    </row>
    <row r="409">
      <c r="G409" s="6"/>
      <c r="H409" s="6"/>
      <c r="I409" s="6"/>
      <c r="J409" s="6"/>
      <c r="O409" s="10"/>
      <c r="P409" s="10"/>
      <c r="Q409" s="10"/>
    </row>
    <row r="410">
      <c r="G410" s="6"/>
      <c r="H410" s="6"/>
      <c r="I410" s="6"/>
      <c r="J410" s="6"/>
      <c r="O410" s="10"/>
      <c r="P410" s="10"/>
      <c r="Q410" s="10"/>
    </row>
    <row r="411">
      <c r="G411" s="6"/>
      <c r="H411" s="6"/>
      <c r="I411" s="6"/>
      <c r="J411" s="6"/>
      <c r="O411" s="10"/>
      <c r="P411" s="10"/>
      <c r="Q411" s="10"/>
    </row>
    <row r="412">
      <c r="G412" s="6"/>
      <c r="H412" s="6"/>
      <c r="I412" s="6"/>
      <c r="J412" s="6"/>
      <c r="O412" s="10"/>
      <c r="P412" s="10"/>
      <c r="Q412" s="10"/>
    </row>
    <row r="413">
      <c r="G413" s="6"/>
      <c r="H413" s="6"/>
      <c r="I413" s="6"/>
      <c r="J413" s="6"/>
      <c r="O413" s="10"/>
      <c r="P413" s="10"/>
      <c r="Q413" s="10"/>
    </row>
    <row r="414">
      <c r="G414" s="6"/>
      <c r="H414" s="6"/>
      <c r="I414" s="6"/>
      <c r="J414" s="6"/>
      <c r="O414" s="10"/>
      <c r="P414" s="10"/>
      <c r="Q414" s="10"/>
    </row>
    <row r="415">
      <c r="G415" s="6"/>
      <c r="H415" s="6"/>
      <c r="I415" s="6"/>
      <c r="J415" s="6"/>
      <c r="O415" s="10"/>
      <c r="P415" s="10"/>
      <c r="Q415" s="10"/>
    </row>
    <row r="416">
      <c r="G416" s="6"/>
      <c r="H416" s="6"/>
      <c r="I416" s="6"/>
      <c r="J416" s="6"/>
      <c r="O416" s="10"/>
      <c r="P416" s="10"/>
      <c r="Q416" s="10"/>
    </row>
    <row r="417">
      <c r="G417" s="6"/>
      <c r="H417" s="6"/>
      <c r="I417" s="6"/>
      <c r="J417" s="6"/>
      <c r="O417" s="10"/>
      <c r="P417" s="10"/>
      <c r="Q417" s="10"/>
    </row>
    <row r="418">
      <c r="G418" s="6"/>
      <c r="H418" s="6"/>
      <c r="I418" s="6"/>
      <c r="J418" s="6"/>
      <c r="O418" s="10"/>
      <c r="P418" s="10"/>
      <c r="Q418" s="10"/>
    </row>
    <row r="419">
      <c r="G419" s="6"/>
      <c r="H419" s="6"/>
      <c r="I419" s="6"/>
      <c r="J419" s="6"/>
      <c r="O419" s="10"/>
      <c r="P419" s="10"/>
      <c r="Q419" s="10"/>
    </row>
    <row r="420">
      <c r="G420" s="6"/>
      <c r="H420" s="6"/>
      <c r="I420" s="6"/>
      <c r="J420" s="6"/>
      <c r="O420" s="10"/>
      <c r="P420" s="10"/>
      <c r="Q420" s="10"/>
    </row>
    <row r="421">
      <c r="G421" s="6"/>
      <c r="H421" s="6"/>
      <c r="I421" s="6"/>
      <c r="J421" s="6"/>
      <c r="O421" s="10"/>
      <c r="P421" s="10"/>
      <c r="Q421" s="10"/>
    </row>
    <row r="422">
      <c r="G422" s="6"/>
      <c r="H422" s="6"/>
      <c r="I422" s="6"/>
      <c r="J422" s="6"/>
      <c r="O422" s="10"/>
      <c r="P422" s="10"/>
      <c r="Q422" s="10"/>
    </row>
    <row r="423">
      <c r="G423" s="6"/>
      <c r="H423" s="6"/>
      <c r="I423" s="6"/>
      <c r="J423" s="6"/>
      <c r="O423" s="10"/>
      <c r="P423" s="10"/>
      <c r="Q423" s="10"/>
    </row>
    <row r="424">
      <c r="G424" s="6"/>
      <c r="H424" s="6"/>
      <c r="I424" s="6"/>
      <c r="J424" s="6"/>
      <c r="O424" s="10"/>
      <c r="P424" s="10"/>
      <c r="Q424" s="10"/>
    </row>
    <row r="425">
      <c r="G425" s="6"/>
      <c r="H425" s="6"/>
      <c r="I425" s="6"/>
      <c r="J425" s="6"/>
      <c r="O425" s="10"/>
      <c r="P425" s="10"/>
      <c r="Q425" s="10"/>
    </row>
    <row r="426">
      <c r="G426" s="6"/>
      <c r="H426" s="6"/>
      <c r="I426" s="6"/>
      <c r="J426" s="6"/>
      <c r="O426" s="10"/>
      <c r="P426" s="10"/>
      <c r="Q426" s="10"/>
    </row>
    <row r="427">
      <c r="G427" s="6"/>
      <c r="H427" s="6"/>
      <c r="I427" s="6"/>
      <c r="J427" s="6"/>
      <c r="O427" s="10"/>
      <c r="P427" s="10"/>
      <c r="Q427" s="10"/>
    </row>
    <row r="428">
      <c r="G428" s="6"/>
      <c r="H428" s="6"/>
      <c r="I428" s="6"/>
      <c r="J428" s="6"/>
      <c r="O428" s="10"/>
      <c r="P428" s="10"/>
      <c r="Q428" s="10"/>
    </row>
    <row r="429">
      <c r="G429" s="6"/>
      <c r="H429" s="6"/>
      <c r="I429" s="6"/>
      <c r="J429" s="6"/>
      <c r="O429" s="10"/>
      <c r="P429" s="10"/>
      <c r="Q429" s="10"/>
    </row>
    <row r="430">
      <c r="G430" s="6"/>
      <c r="H430" s="6"/>
      <c r="I430" s="6"/>
      <c r="J430" s="6"/>
      <c r="O430" s="10"/>
      <c r="P430" s="10"/>
      <c r="Q430" s="10"/>
    </row>
    <row r="431">
      <c r="G431" s="6"/>
      <c r="H431" s="6"/>
      <c r="I431" s="6"/>
      <c r="J431" s="6"/>
      <c r="O431" s="10"/>
      <c r="P431" s="10"/>
      <c r="Q431" s="10"/>
    </row>
    <row r="432">
      <c r="G432" s="6"/>
      <c r="H432" s="6"/>
      <c r="I432" s="6"/>
      <c r="J432" s="6"/>
      <c r="O432" s="10"/>
      <c r="P432" s="10"/>
      <c r="Q432" s="10"/>
    </row>
    <row r="433">
      <c r="G433" s="6"/>
      <c r="H433" s="6"/>
      <c r="I433" s="6"/>
      <c r="J433" s="6"/>
      <c r="O433" s="10"/>
      <c r="P433" s="10"/>
      <c r="Q433" s="10"/>
    </row>
    <row r="434">
      <c r="G434" s="6"/>
      <c r="H434" s="6"/>
      <c r="I434" s="6"/>
      <c r="J434" s="6"/>
      <c r="O434" s="10"/>
      <c r="P434" s="10"/>
      <c r="Q434" s="10"/>
    </row>
    <row r="435">
      <c r="G435" s="6"/>
      <c r="H435" s="6"/>
      <c r="I435" s="6"/>
      <c r="J435" s="6"/>
      <c r="O435" s="10"/>
      <c r="P435" s="10"/>
      <c r="Q435" s="10"/>
    </row>
    <row r="436">
      <c r="G436" s="6"/>
      <c r="H436" s="6"/>
      <c r="I436" s="6"/>
      <c r="J436" s="6"/>
      <c r="O436" s="10"/>
      <c r="P436" s="10"/>
      <c r="Q436" s="10"/>
    </row>
    <row r="437">
      <c r="G437" s="6"/>
      <c r="H437" s="6"/>
      <c r="I437" s="6"/>
      <c r="J437" s="6"/>
      <c r="O437" s="10"/>
      <c r="P437" s="10"/>
      <c r="Q437" s="10"/>
    </row>
    <row r="438">
      <c r="G438" s="6"/>
      <c r="H438" s="6"/>
      <c r="I438" s="6"/>
      <c r="J438" s="6"/>
      <c r="O438" s="10"/>
      <c r="P438" s="10"/>
      <c r="Q438" s="10"/>
    </row>
    <row r="439">
      <c r="G439" s="6"/>
      <c r="H439" s="6"/>
      <c r="I439" s="6"/>
      <c r="J439" s="6"/>
      <c r="O439" s="10"/>
      <c r="P439" s="10"/>
      <c r="Q439" s="10"/>
    </row>
    <row r="440">
      <c r="G440" s="6"/>
      <c r="H440" s="6"/>
      <c r="I440" s="6"/>
      <c r="J440" s="6"/>
      <c r="O440" s="10"/>
      <c r="P440" s="10"/>
      <c r="Q440" s="10"/>
    </row>
    <row r="441">
      <c r="G441" s="6"/>
      <c r="H441" s="6"/>
      <c r="I441" s="6"/>
      <c r="J441" s="6"/>
      <c r="O441" s="10"/>
      <c r="P441" s="10"/>
      <c r="Q441" s="10"/>
    </row>
    <row r="442">
      <c r="G442" s="6"/>
      <c r="H442" s="6"/>
      <c r="I442" s="6"/>
      <c r="J442" s="6"/>
      <c r="O442" s="10"/>
      <c r="P442" s="10"/>
      <c r="Q442" s="10"/>
    </row>
    <row r="443">
      <c r="G443" s="6"/>
      <c r="H443" s="6"/>
      <c r="I443" s="6"/>
      <c r="J443" s="6"/>
      <c r="O443" s="10"/>
      <c r="P443" s="10"/>
      <c r="Q443" s="10"/>
    </row>
    <row r="444">
      <c r="G444" s="6"/>
      <c r="H444" s="6"/>
      <c r="I444" s="6"/>
      <c r="J444" s="6"/>
      <c r="O444" s="10"/>
      <c r="P444" s="10"/>
      <c r="Q444" s="10"/>
    </row>
    <row r="445">
      <c r="G445" s="6"/>
      <c r="H445" s="6"/>
      <c r="I445" s="6"/>
      <c r="J445" s="6"/>
      <c r="O445" s="10"/>
      <c r="P445" s="10"/>
      <c r="Q445" s="10"/>
    </row>
    <row r="446">
      <c r="G446" s="6"/>
      <c r="H446" s="6"/>
      <c r="I446" s="6"/>
      <c r="J446" s="6"/>
      <c r="O446" s="10"/>
      <c r="P446" s="10"/>
      <c r="Q446" s="10"/>
    </row>
    <row r="447">
      <c r="G447" s="6"/>
      <c r="H447" s="6"/>
      <c r="I447" s="6"/>
      <c r="J447" s="6"/>
      <c r="O447" s="10"/>
      <c r="P447" s="10"/>
      <c r="Q447" s="10"/>
    </row>
    <row r="448">
      <c r="G448" s="6"/>
      <c r="H448" s="6"/>
      <c r="I448" s="6"/>
      <c r="J448" s="6"/>
      <c r="O448" s="10"/>
      <c r="P448" s="10"/>
      <c r="Q448" s="10"/>
    </row>
    <row r="449">
      <c r="G449" s="6"/>
      <c r="H449" s="6"/>
      <c r="I449" s="6"/>
      <c r="J449" s="6"/>
      <c r="O449" s="10"/>
      <c r="P449" s="10"/>
      <c r="Q449" s="10"/>
    </row>
    <row r="450">
      <c r="G450" s="6"/>
      <c r="H450" s="6"/>
      <c r="I450" s="6"/>
      <c r="J450" s="6"/>
      <c r="O450" s="10"/>
      <c r="P450" s="10"/>
      <c r="Q450" s="10"/>
    </row>
    <row r="451">
      <c r="G451" s="6"/>
      <c r="H451" s="6"/>
      <c r="I451" s="6"/>
      <c r="J451" s="6"/>
      <c r="O451" s="10"/>
      <c r="P451" s="10"/>
      <c r="Q451" s="10"/>
    </row>
    <row r="452">
      <c r="G452" s="6"/>
      <c r="H452" s="6"/>
      <c r="I452" s="6"/>
      <c r="J452" s="6"/>
      <c r="O452" s="10"/>
      <c r="P452" s="10"/>
      <c r="Q452" s="10"/>
    </row>
    <row r="453">
      <c r="G453" s="6"/>
      <c r="H453" s="6"/>
      <c r="I453" s="6"/>
      <c r="J453" s="6"/>
      <c r="O453" s="10"/>
      <c r="P453" s="10"/>
      <c r="Q453" s="10"/>
    </row>
    <row r="454">
      <c r="G454" s="6"/>
      <c r="H454" s="6"/>
      <c r="I454" s="6"/>
      <c r="J454" s="6"/>
      <c r="O454" s="10"/>
      <c r="P454" s="10"/>
      <c r="Q454" s="10"/>
    </row>
    <row r="455">
      <c r="G455" s="6"/>
      <c r="H455" s="6"/>
      <c r="I455" s="6"/>
      <c r="J455" s="6"/>
      <c r="O455" s="10"/>
      <c r="P455" s="10"/>
      <c r="Q455" s="10"/>
    </row>
    <row r="456">
      <c r="G456" s="6"/>
      <c r="H456" s="6"/>
      <c r="I456" s="6"/>
      <c r="J456" s="6"/>
      <c r="O456" s="10"/>
      <c r="P456" s="10"/>
      <c r="Q456" s="10"/>
    </row>
    <row r="457">
      <c r="G457" s="6"/>
      <c r="H457" s="6"/>
      <c r="I457" s="6"/>
      <c r="J457" s="6"/>
      <c r="O457" s="10"/>
      <c r="P457" s="10"/>
      <c r="Q457" s="10"/>
    </row>
    <row r="458">
      <c r="G458" s="6"/>
      <c r="H458" s="6"/>
      <c r="I458" s="6"/>
      <c r="J458" s="6"/>
      <c r="O458" s="10"/>
      <c r="P458" s="10"/>
      <c r="Q458" s="10"/>
    </row>
    <row r="459">
      <c r="G459" s="6"/>
      <c r="H459" s="6"/>
      <c r="I459" s="6"/>
      <c r="J459" s="6"/>
      <c r="O459" s="10"/>
      <c r="P459" s="10"/>
      <c r="Q459" s="10"/>
    </row>
    <row r="460">
      <c r="G460" s="6"/>
      <c r="H460" s="6"/>
      <c r="I460" s="6"/>
      <c r="J460" s="6"/>
      <c r="O460" s="10"/>
      <c r="P460" s="10"/>
      <c r="Q460" s="10"/>
    </row>
    <row r="461">
      <c r="G461" s="6"/>
      <c r="H461" s="6"/>
      <c r="I461" s="6"/>
      <c r="J461" s="6"/>
      <c r="O461" s="10"/>
      <c r="P461" s="10"/>
      <c r="Q461" s="10"/>
    </row>
    <row r="462">
      <c r="G462" s="6"/>
      <c r="H462" s="6"/>
      <c r="I462" s="6"/>
      <c r="J462" s="6"/>
      <c r="O462" s="10"/>
      <c r="P462" s="10"/>
      <c r="Q462" s="10"/>
    </row>
    <row r="463">
      <c r="G463" s="6"/>
      <c r="H463" s="6"/>
      <c r="I463" s="6"/>
      <c r="J463" s="6"/>
      <c r="O463" s="10"/>
      <c r="P463" s="10"/>
      <c r="Q463" s="10"/>
    </row>
    <row r="464">
      <c r="G464" s="6"/>
      <c r="H464" s="6"/>
      <c r="I464" s="6"/>
      <c r="J464" s="6"/>
      <c r="O464" s="10"/>
      <c r="P464" s="10"/>
      <c r="Q464" s="10"/>
    </row>
    <row r="465">
      <c r="G465" s="6"/>
      <c r="H465" s="6"/>
      <c r="I465" s="6"/>
      <c r="J465" s="6"/>
      <c r="O465" s="10"/>
      <c r="P465" s="10"/>
      <c r="Q465" s="10"/>
    </row>
    <row r="466">
      <c r="G466" s="6"/>
      <c r="H466" s="6"/>
      <c r="I466" s="6"/>
      <c r="J466" s="6"/>
      <c r="O466" s="10"/>
      <c r="P466" s="10"/>
      <c r="Q466" s="10"/>
    </row>
    <row r="467">
      <c r="G467" s="6"/>
      <c r="H467" s="6"/>
      <c r="I467" s="6"/>
      <c r="J467" s="6"/>
      <c r="O467" s="10"/>
      <c r="P467" s="10"/>
      <c r="Q467" s="10"/>
    </row>
    <row r="468">
      <c r="G468" s="6"/>
      <c r="H468" s="6"/>
      <c r="I468" s="6"/>
      <c r="J468" s="6"/>
      <c r="O468" s="10"/>
      <c r="P468" s="10"/>
      <c r="Q468" s="10"/>
    </row>
    <row r="469">
      <c r="G469" s="6"/>
      <c r="H469" s="6"/>
      <c r="I469" s="6"/>
      <c r="J469" s="6"/>
      <c r="O469" s="10"/>
      <c r="P469" s="10"/>
      <c r="Q469" s="10"/>
    </row>
    <row r="470">
      <c r="G470" s="6"/>
      <c r="H470" s="6"/>
      <c r="I470" s="6"/>
      <c r="J470" s="6"/>
      <c r="O470" s="10"/>
      <c r="P470" s="10"/>
      <c r="Q470" s="10"/>
    </row>
    <row r="471">
      <c r="G471" s="6"/>
      <c r="H471" s="6"/>
      <c r="I471" s="6"/>
      <c r="J471" s="6"/>
      <c r="O471" s="10"/>
      <c r="P471" s="10"/>
      <c r="Q471" s="10"/>
    </row>
    <row r="472">
      <c r="G472" s="6"/>
      <c r="H472" s="6"/>
      <c r="I472" s="6"/>
      <c r="J472" s="6"/>
      <c r="O472" s="10"/>
      <c r="P472" s="10"/>
      <c r="Q472" s="10"/>
    </row>
    <row r="473">
      <c r="G473" s="6"/>
      <c r="H473" s="6"/>
      <c r="I473" s="6"/>
      <c r="J473" s="6"/>
      <c r="O473" s="10"/>
      <c r="P473" s="10"/>
      <c r="Q473" s="10"/>
    </row>
    <row r="474">
      <c r="G474" s="6"/>
      <c r="H474" s="6"/>
      <c r="I474" s="6"/>
      <c r="J474" s="6"/>
      <c r="O474" s="10"/>
      <c r="P474" s="10"/>
      <c r="Q474" s="10"/>
    </row>
    <row r="475">
      <c r="G475" s="6"/>
      <c r="H475" s="6"/>
      <c r="I475" s="6"/>
      <c r="J475" s="6"/>
      <c r="O475" s="10"/>
      <c r="P475" s="10"/>
      <c r="Q475" s="10"/>
    </row>
    <row r="476">
      <c r="G476" s="6"/>
      <c r="H476" s="6"/>
      <c r="I476" s="6"/>
      <c r="J476" s="6"/>
      <c r="O476" s="10"/>
      <c r="P476" s="10"/>
      <c r="Q476" s="10"/>
    </row>
    <row r="477">
      <c r="G477" s="6"/>
      <c r="H477" s="6"/>
      <c r="I477" s="6"/>
      <c r="J477" s="6"/>
      <c r="O477" s="10"/>
      <c r="P477" s="10"/>
      <c r="Q477" s="10"/>
    </row>
    <row r="478">
      <c r="G478" s="6"/>
      <c r="H478" s="6"/>
      <c r="I478" s="6"/>
      <c r="J478" s="6"/>
      <c r="O478" s="10"/>
      <c r="P478" s="10"/>
      <c r="Q478" s="10"/>
    </row>
    <row r="479">
      <c r="G479" s="6"/>
      <c r="H479" s="6"/>
      <c r="I479" s="6"/>
      <c r="J479" s="6"/>
      <c r="O479" s="10"/>
      <c r="P479" s="10"/>
      <c r="Q479" s="10"/>
    </row>
    <row r="480">
      <c r="G480" s="6"/>
      <c r="H480" s="6"/>
      <c r="I480" s="6"/>
      <c r="J480" s="6"/>
      <c r="O480" s="10"/>
      <c r="P480" s="10"/>
      <c r="Q480" s="10"/>
    </row>
    <row r="481">
      <c r="G481" s="6"/>
      <c r="H481" s="6"/>
      <c r="I481" s="6"/>
      <c r="J481" s="6"/>
      <c r="O481" s="10"/>
      <c r="P481" s="10"/>
      <c r="Q481" s="10"/>
    </row>
    <row r="482">
      <c r="G482" s="6"/>
      <c r="H482" s="6"/>
      <c r="I482" s="6"/>
      <c r="J482" s="6"/>
      <c r="O482" s="10"/>
      <c r="P482" s="10"/>
      <c r="Q482" s="10"/>
    </row>
    <row r="483">
      <c r="G483" s="6"/>
      <c r="H483" s="6"/>
      <c r="I483" s="6"/>
      <c r="J483" s="6"/>
      <c r="O483" s="10"/>
      <c r="P483" s="10"/>
      <c r="Q483" s="10"/>
    </row>
    <row r="484">
      <c r="G484" s="6"/>
      <c r="H484" s="6"/>
      <c r="I484" s="6"/>
      <c r="J484" s="6"/>
      <c r="O484" s="10"/>
      <c r="P484" s="10"/>
      <c r="Q484" s="10"/>
    </row>
    <row r="485">
      <c r="G485" s="6"/>
      <c r="H485" s="6"/>
      <c r="I485" s="6"/>
      <c r="J485" s="6"/>
      <c r="O485" s="10"/>
      <c r="P485" s="10"/>
      <c r="Q485" s="10"/>
    </row>
    <row r="486">
      <c r="G486" s="6"/>
      <c r="H486" s="6"/>
      <c r="I486" s="6"/>
      <c r="J486" s="6"/>
      <c r="O486" s="10"/>
      <c r="P486" s="10"/>
      <c r="Q486" s="10"/>
    </row>
    <row r="487">
      <c r="G487" s="6"/>
      <c r="H487" s="6"/>
      <c r="I487" s="6"/>
      <c r="J487" s="6"/>
      <c r="O487" s="10"/>
      <c r="P487" s="10"/>
      <c r="Q487" s="10"/>
    </row>
    <row r="488">
      <c r="G488" s="6"/>
      <c r="H488" s="6"/>
      <c r="I488" s="6"/>
      <c r="J488" s="6"/>
      <c r="O488" s="10"/>
      <c r="P488" s="10"/>
      <c r="Q488" s="10"/>
    </row>
    <row r="489">
      <c r="G489" s="6"/>
      <c r="H489" s="6"/>
      <c r="I489" s="6"/>
      <c r="J489" s="6"/>
      <c r="O489" s="10"/>
      <c r="P489" s="10"/>
      <c r="Q489" s="10"/>
    </row>
    <row r="490">
      <c r="G490" s="6"/>
      <c r="H490" s="6"/>
      <c r="I490" s="6"/>
      <c r="J490" s="6"/>
      <c r="O490" s="10"/>
      <c r="P490" s="10"/>
      <c r="Q490" s="10"/>
    </row>
    <row r="491">
      <c r="G491" s="6"/>
      <c r="H491" s="6"/>
      <c r="I491" s="6"/>
      <c r="J491" s="6"/>
      <c r="O491" s="10"/>
      <c r="P491" s="10"/>
      <c r="Q491" s="10"/>
    </row>
    <row r="492">
      <c r="G492" s="6"/>
      <c r="H492" s="6"/>
      <c r="I492" s="6"/>
      <c r="J492" s="6"/>
      <c r="O492" s="10"/>
      <c r="P492" s="10"/>
      <c r="Q492" s="10"/>
    </row>
    <row r="493">
      <c r="G493" s="6"/>
      <c r="H493" s="6"/>
      <c r="I493" s="6"/>
      <c r="J493" s="6"/>
      <c r="O493" s="10"/>
      <c r="P493" s="10"/>
      <c r="Q493" s="10"/>
    </row>
    <row r="494">
      <c r="G494" s="6"/>
      <c r="H494" s="6"/>
      <c r="I494" s="6"/>
      <c r="J494" s="6"/>
      <c r="O494" s="10"/>
      <c r="P494" s="10"/>
      <c r="Q494" s="10"/>
    </row>
    <row r="495">
      <c r="G495" s="6"/>
      <c r="H495" s="6"/>
      <c r="I495" s="6"/>
      <c r="J495" s="6"/>
      <c r="O495" s="10"/>
      <c r="P495" s="10"/>
      <c r="Q495" s="10"/>
    </row>
    <row r="496">
      <c r="G496" s="6"/>
      <c r="H496" s="6"/>
      <c r="I496" s="6"/>
      <c r="J496" s="6"/>
      <c r="O496" s="10"/>
      <c r="P496" s="10"/>
      <c r="Q496" s="10"/>
    </row>
    <row r="497">
      <c r="G497" s="6"/>
      <c r="H497" s="6"/>
      <c r="I497" s="6"/>
      <c r="J497" s="6"/>
      <c r="O497" s="10"/>
      <c r="P497" s="10"/>
      <c r="Q497" s="10"/>
    </row>
    <row r="498">
      <c r="G498" s="6"/>
      <c r="H498" s="6"/>
      <c r="I498" s="6"/>
      <c r="J498" s="6"/>
      <c r="O498" s="10"/>
      <c r="P498" s="10"/>
      <c r="Q498" s="10"/>
    </row>
    <row r="499">
      <c r="G499" s="6"/>
      <c r="H499" s="6"/>
      <c r="I499" s="6"/>
      <c r="J499" s="6"/>
      <c r="O499" s="10"/>
      <c r="P499" s="10"/>
      <c r="Q499" s="10"/>
    </row>
    <row r="500">
      <c r="G500" s="6"/>
      <c r="H500" s="6"/>
      <c r="I500" s="6"/>
      <c r="J500" s="6"/>
      <c r="O500" s="10"/>
      <c r="P500" s="10"/>
      <c r="Q500" s="10"/>
    </row>
    <row r="501">
      <c r="G501" s="6"/>
      <c r="H501" s="6"/>
      <c r="I501" s="6"/>
      <c r="J501" s="6"/>
      <c r="O501" s="10"/>
      <c r="P501" s="10"/>
      <c r="Q501" s="10"/>
    </row>
    <row r="502">
      <c r="G502" s="6"/>
      <c r="H502" s="6"/>
      <c r="I502" s="6"/>
      <c r="J502" s="6"/>
      <c r="O502" s="10"/>
      <c r="P502" s="10"/>
      <c r="Q502" s="10"/>
    </row>
    <row r="503">
      <c r="G503" s="6"/>
      <c r="H503" s="6"/>
      <c r="I503" s="6"/>
      <c r="J503" s="6"/>
      <c r="O503" s="10"/>
      <c r="P503" s="10"/>
      <c r="Q503" s="10"/>
    </row>
    <row r="504">
      <c r="G504" s="6"/>
      <c r="H504" s="6"/>
      <c r="I504" s="6"/>
      <c r="J504" s="6"/>
      <c r="O504" s="10"/>
      <c r="P504" s="10"/>
      <c r="Q504" s="10"/>
    </row>
    <row r="505">
      <c r="G505" s="6"/>
      <c r="H505" s="6"/>
      <c r="I505" s="6"/>
      <c r="J505" s="6"/>
      <c r="O505" s="10"/>
      <c r="P505" s="10"/>
      <c r="Q505" s="10"/>
    </row>
    <row r="506">
      <c r="G506" s="6"/>
      <c r="H506" s="6"/>
      <c r="I506" s="6"/>
      <c r="J506" s="6"/>
      <c r="O506" s="10"/>
      <c r="P506" s="10"/>
      <c r="Q506" s="10"/>
    </row>
    <row r="507">
      <c r="G507" s="6"/>
      <c r="H507" s="6"/>
      <c r="I507" s="6"/>
      <c r="J507" s="6"/>
      <c r="O507" s="10"/>
      <c r="P507" s="10"/>
      <c r="Q507" s="10"/>
    </row>
    <row r="508">
      <c r="G508" s="6"/>
      <c r="H508" s="6"/>
      <c r="I508" s="6"/>
      <c r="J508" s="6"/>
      <c r="O508" s="10"/>
      <c r="P508" s="10"/>
      <c r="Q508" s="10"/>
    </row>
    <row r="509">
      <c r="G509" s="6"/>
      <c r="H509" s="6"/>
      <c r="I509" s="6"/>
      <c r="J509" s="6"/>
      <c r="O509" s="10"/>
      <c r="P509" s="10"/>
      <c r="Q509" s="10"/>
    </row>
    <row r="510">
      <c r="G510" s="6"/>
      <c r="H510" s="6"/>
      <c r="I510" s="6"/>
      <c r="J510" s="6"/>
      <c r="O510" s="10"/>
      <c r="P510" s="10"/>
      <c r="Q510" s="10"/>
    </row>
    <row r="511">
      <c r="G511" s="6"/>
      <c r="H511" s="6"/>
      <c r="I511" s="6"/>
      <c r="J511" s="6"/>
      <c r="O511" s="10"/>
      <c r="P511" s="10"/>
      <c r="Q511" s="10"/>
    </row>
    <row r="512">
      <c r="G512" s="6"/>
      <c r="H512" s="6"/>
      <c r="I512" s="6"/>
      <c r="J512" s="6"/>
      <c r="O512" s="10"/>
      <c r="P512" s="10"/>
      <c r="Q512" s="10"/>
    </row>
    <row r="513">
      <c r="G513" s="6"/>
      <c r="H513" s="6"/>
      <c r="I513" s="6"/>
      <c r="J513" s="6"/>
      <c r="O513" s="10"/>
      <c r="P513" s="10"/>
      <c r="Q513" s="10"/>
    </row>
    <row r="514">
      <c r="G514" s="6"/>
      <c r="H514" s="6"/>
      <c r="I514" s="6"/>
      <c r="J514" s="6"/>
      <c r="O514" s="10"/>
      <c r="P514" s="10"/>
      <c r="Q514" s="10"/>
    </row>
    <row r="515">
      <c r="G515" s="6"/>
      <c r="H515" s="6"/>
      <c r="I515" s="6"/>
      <c r="J515" s="6"/>
      <c r="O515" s="10"/>
      <c r="P515" s="10"/>
      <c r="Q515" s="10"/>
    </row>
    <row r="516">
      <c r="G516" s="6"/>
      <c r="H516" s="6"/>
      <c r="I516" s="6"/>
      <c r="J516" s="6"/>
      <c r="O516" s="10"/>
      <c r="P516" s="10"/>
      <c r="Q516" s="10"/>
    </row>
    <row r="517">
      <c r="G517" s="6"/>
      <c r="H517" s="6"/>
      <c r="I517" s="6"/>
      <c r="J517" s="6"/>
      <c r="O517" s="10"/>
      <c r="P517" s="10"/>
      <c r="Q517" s="10"/>
    </row>
    <row r="518">
      <c r="G518" s="6"/>
      <c r="H518" s="6"/>
      <c r="I518" s="6"/>
      <c r="J518" s="6"/>
      <c r="O518" s="10"/>
      <c r="P518" s="10"/>
      <c r="Q518" s="10"/>
    </row>
    <row r="519">
      <c r="G519" s="6"/>
      <c r="H519" s="6"/>
      <c r="I519" s="6"/>
      <c r="J519" s="6"/>
      <c r="O519" s="10"/>
      <c r="P519" s="10"/>
      <c r="Q519" s="10"/>
    </row>
    <row r="520">
      <c r="G520" s="6"/>
      <c r="H520" s="6"/>
      <c r="I520" s="6"/>
      <c r="J520" s="6"/>
      <c r="O520" s="10"/>
      <c r="P520" s="10"/>
      <c r="Q520" s="10"/>
    </row>
    <row r="521">
      <c r="G521" s="6"/>
      <c r="H521" s="6"/>
      <c r="I521" s="6"/>
      <c r="J521" s="6"/>
      <c r="O521" s="10"/>
      <c r="P521" s="10"/>
      <c r="Q521" s="10"/>
    </row>
    <row r="522">
      <c r="G522" s="6"/>
      <c r="H522" s="6"/>
      <c r="I522" s="6"/>
      <c r="J522" s="6"/>
      <c r="O522" s="10"/>
      <c r="P522" s="10"/>
      <c r="Q522" s="10"/>
    </row>
    <row r="523">
      <c r="G523" s="6"/>
      <c r="H523" s="6"/>
      <c r="I523" s="6"/>
      <c r="J523" s="6"/>
      <c r="O523" s="10"/>
      <c r="P523" s="10"/>
      <c r="Q523" s="10"/>
    </row>
    <row r="524">
      <c r="G524" s="6"/>
      <c r="H524" s="6"/>
      <c r="I524" s="6"/>
      <c r="J524" s="6"/>
      <c r="O524" s="10"/>
      <c r="P524" s="10"/>
      <c r="Q524" s="10"/>
    </row>
    <row r="525">
      <c r="G525" s="6"/>
      <c r="H525" s="6"/>
      <c r="I525" s="6"/>
      <c r="J525" s="6"/>
      <c r="O525" s="10"/>
      <c r="P525" s="10"/>
      <c r="Q525" s="10"/>
    </row>
    <row r="526">
      <c r="G526" s="6"/>
      <c r="H526" s="6"/>
      <c r="I526" s="6"/>
      <c r="J526" s="6"/>
      <c r="O526" s="10"/>
      <c r="P526" s="10"/>
      <c r="Q526" s="10"/>
    </row>
    <row r="527">
      <c r="G527" s="6"/>
      <c r="H527" s="6"/>
      <c r="I527" s="6"/>
      <c r="J527" s="6"/>
      <c r="O527" s="10"/>
      <c r="P527" s="10"/>
      <c r="Q527" s="10"/>
    </row>
    <row r="528">
      <c r="G528" s="6"/>
      <c r="H528" s="6"/>
      <c r="I528" s="6"/>
      <c r="J528" s="6"/>
      <c r="O528" s="10"/>
      <c r="P528" s="10"/>
      <c r="Q528" s="10"/>
    </row>
    <row r="529">
      <c r="G529" s="6"/>
      <c r="H529" s="6"/>
      <c r="I529" s="6"/>
      <c r="J529" s="6"/>
      <c r="O529" s="10"/>
      <c r="P529" s="10"/>
      <c r="Q529" s="10"/>
    </row>
    <row r="530">
      <c r="G530" s="6"/>
      <c r="H530" s="6"/>
      <c r="I530" s="6"/>
      <c r="J530" s="6"/>
      <c r="O530" s="10"/>
      <c r="P530" s="10"/>
      <c r="Q530" s="10"/>
    </row>
    <row r="531">
      <c r="G531" s="6"/>
      <c r="H531" s="6"/>
      <c r="I531" s="6"/>
      <c r="J531" s="6"/>
      <c r="O531" s="10"/>
      <c r="P531" s="10"/>
      <c r="Q531" s="10"/>
    </row>
    <row r="532">
      <c r="G532" s="6"/>
      <c r="H532" s="6"/>
      <c r="I532" s="6"/>
      <c r="J532" s="6"/>
      <c r="O532" s="10"/>
      <c r="P532" s="10"/>
      <c r="Q532" s="10"/>
    </row>
    <row r="533">
      <c r="G533" s="6"/>
      <c r="H533" s="6"/>
      <c r="I533" s="6"/>
      <c r="J533" s="6"/>
      <c r="O533" s="10"/>
      <c r="P533" s="10"/>
      <c r="Q533" s="10"/>
    </row>
    <row r="534">
      <c r="G534" s="6"/>
      <c r="H534" s="6"/>
      <c r="I534" s="6"/>
      <c r="J534" s="6"/>
      <c r="O534" s="10"/>
      <c r="P534" s="10"/>
      <c r="Q534" s="10"/>
    </row>
    <row r="535">
      <c r="G535" s="6"/>
      <c r="H535" s="6"/>
      <c r="I535" s="6"/>
      <c r="J535" s="6"/>
      <c r="O535" s="10"/>
      <c r="P535" s="10"/>
      <c r="Q535" s="10"/>
    </row>
    <row r="536">
      <c r="G536" s="6"/>
      <c r="H536" s="6"/>
      <c r="I536" s="6"/>
      <c r="J536" s="6"/>
      <c r="O536" s="10"/>
      <c r="P536" s="10"/>
      <c r="Q536" s="10"/>
    </row>
    <row r="537">
      <c r="G537" s="6"/>
      <c r="H537" s="6"/>
      <c r="I537" s="6"/>
      <c r="J537" s="6"/>
      <c r="O537" s="10"/>
      <c r="P537" s="10"/>
      <c r="Q537" s="10"/>
    </row>
    <row r="538">
      <c r="G538" s="6"/>
      <c r="H538" s="6"/>
      <c r="I538" s="6"/>
      <c r="J538" s="6"/>
      <c r="O538" s="10"/>
      <c r="P538" s="10"/>
      <c r="Q538" s="10"/>
    </row>
    <row r="539">
      <c r="G539" s="6"/>
      <c r="H539" s="6"/>
      <c r="I539" s="6"/>
      <c r="J539" s="6"/>
      <c r="O539" s="10"/>
      <c r="P539" s="10"/>
      <c r="Q539" s="10"/>
    </row>
    <row r="540">
      <c r="G540" s="6"/>
      <c r="H540" s="6"/>
      <c r="I540" s="6"/>
      <c r="J540" s="6"/>
      <c r="O540" s="10"/>
      <c r="P540" s="10"/>
      <c r="Q540" s="10"/>
    </row>
    <row r="541">
      <c r="G541" s="6"/>
      <c r="H541" s="6"/>
      <c r="I541" s="6"/>
      <c r="J541" s="6"/>
      <c r="O541" s="10"/>
      <c r="P541" s="10"/>
      <c r="Q541" s="10"/>
    </row>
    <row r="542">
      <c r="G542" s="6"/>
      <c r="H542" s="6"/>
      <c r="I542" s="6"/>
      <c r="J542" s="6"/>
      <c r="O542" s="10"/>
      <c r="P542" s="10"/>
      <c r="Q542" s="10"/>
    </row>
    <row r="543">
      <c r="G543" s="6"/>
      <c r="H543" s="6"/>
      <c r="I543" s="6"/>
      <c r="J543" s="6"/>
      <c r="O543" s="10"/>
      <c r="P543" s="10"/>
      <c r="Q543" s="10"/>
    </row>
    <row r="544">
      <c r="G544" s="6"/>
      <c r="H544" s="6"/>
      <c r="I544" s="6"/>
      <c r="J544" s="6"/>
      <c r="O544" s="10"/>
      <c r="P544" s="10"/>
      <c r="Q544" s="10"/>
    </row>
    <row r="545">
      <c r="G545" s="6"/>
      <c r="H545" s="6"/>
      <c r="I545" s="6"/>
      <c r="J545" s="6"/>
      <c r="O545" s="10"/>
      <c r="P545" s="10"/>
      <c r="Q545" s="10"/>
    </row>
    <row r="546">
      <c r="G546" s="6"/>
      <c r="H546" s="6"/>
      <c r="I546" s="6"/>
      <c r="J546" s="6"/>
      <c r="O546" s="10"/>
      <c r="P546" s="10"/>
      <c r="Q546" s="10"/>
    </row>
    <row r="547">
      <c r="G547" s="6"/>
      <c r="H547" s="6"/>
      <c r="I547" s="6"/>
      <c r="J547" s="6"/>
      <c r="O547" s="10"/>
      <c r="P547" s="10"/>
      <c r="Q547" s="10"/>
    </row>
    <row r="548">
      <c r="G548" s="6"/>
      <c r="H548" s="6"/>
      <c r="I548" s="6"/>
      <c r="J548" s="6"/>
      <c r="O548" s="10"/>
      <c r="P548" s="10"/>
      <c r="Q548" s="10"/>
    </row>
    <row r="549">
      <c r="G549" s="6"/>
      <c r="H549" s="6"/>
      <c r="I549" s="6"/>
      <c r="J549" s="6"/>
      <c r="O549" s="10"/>
      <c r="P549" s="10"/>
      <c r="Q549" s="10"/>
    </row>
    <row r="550">
      <c r="G550" s="6"/>
      <c r="H550" s="6"/>
      <c r="I550" s="6"/>
      <c r="J550" s="6"/>
      <c r="O550" s="10"/>
      <c r="P550" s="10"/>
      <c r="Q550" s="10"/>
    </row>
    <row r="551">
      <c r="G551" s="6"/>
      <c r="H551" s="6"/>
      <c r="I551" s="6"/>
      <c r="J551" s="6"/>
      <c r="O551" s="10"/>
      <c r="P551" s="10"/>
      <c r="Q551" s="10"/>
    </row>
    <row r="552">
      <c r="G552" s="6"/>
      <c r="H552" s="6"/>
      <c r="I552" s="6"/>
      <c r="J552" s="6"/>
      <c r="O552" s="10"/>
      <c r="P552" s="10"/>
      <c r="Q552" s="10"/>
    </row>
    <row r="553">
      <c r="G553" s="6"/>
      <c r="H553" s="6"/>
      <c r="I553" s="6"/>
      <c r="J553" s="6"/>
      <c r="O553" s="10"/>
      <c r="P553" s="10"/>
      <c r="Q553" s="10"/>
    </row>
    <row r="554">
      <c r="G554" s="6"/>
      <c r="H554" s="6"/>
      <c r="I554" s="6"/>
      <c r="J554" s="6"/>
      <c r="O554" s="10"/>
      <c r="P554" s="10"/>
      <c r="Q554" s="10"/>
    </row>
    <row r="555">
      <c r="G555" s="6"/>
      <c r="H555" s="6"/>
      <c r="I555" s="6"/>
      <c r="J555" s="6"/>
      <c r="O555" s="10"/>
      <c r="P555" s="10"/>
      <c r="Q555" s="10"/>
    </row>
    <row r="556">
      <c r="G556" s="6"/>
      <c r="H556" s="6"/>
      <c r="I556" s="6"/>
      <c r="J556" s="6"/>
      <c r="O556" s="10"/>
      <c r="P556" s="10"/>
      <c r="Q556" s="10"/>
    </row>
    <row r="557">
      <c r="G557" s="6"/>
      <c r="H557" s="6"/>
      <c r="I557" s="6"/>
      <c r="J557" s="6"/>
      <c r="O557" s="10"/>
      <c r="P557" s="10"/>
      <c r="Q557" s="10"/>
    </row>
    <row r="558">
      <c r="G558" s="6"/>
      <c r="H558" s="6"/>
      <c r="I558" s="6"/>
      <c r="J558" s="6"/>
      <c r="O558" s="10"/>
      <c r="P558" s="10"/>
      <c r="Q558" s="10"/>
    </row>
    <row r="559">
      <c r="G559" s="6"/>
      <c r="H559" s="6"/>
      <c r="I559" s="6"/>
      <c r="J559" s="6"/>
      <c r="O559" s="10"/>
      <c r="P559" s="10"/>
      <c r="Q559" s="10"/>
    </row>
    <row r="560">
      <c r="G560" s="6"/>
      <c r="H560" s="6"/>
      <c r="I560" s="6"/>
      <c r="J560" s="6"/>
      <c r="O560" s="10"/>
      <c r="P560" s="10"/>
      <c r="Q560" s="10"/>
    </row>
    <row r="561">
      <c r="G561" s="6"/>
      <c r="H561" s="6"/>
      <c r="I561" s="6"/>
      <c r="J561" s="6"/>
      <c r="O561" s="10"/>
      <c r="P561" s="10"/>
      <c r="Q561" s="10"/>
    </row>
    <row r="562">
      <c r="G562" s="6"/>
      <c r="H562" s="6"/>
      <c r="I562" s="6"/>
      <c r="J562" s="6"/>
      <c r="O562" s="10"/>
      <c r="P562" s="10"/>
      <c r="Q562" s="10"/>
    </row>
    <row r="563">
      <c r="G563" s="6"/>
      <c r="H563" s="6"/>
      <c r="I563" s="6"/>
      <c r="J563" s="6"/>
      <c r="O563" s="10"/>
      <c r="P563" s="10"/>
      <c r="Q563" s="10"/>
    </row>
    <row r="564">
      <c r="G564" s="6"/>
      <c r="H564" s="6"/>
      <c r="I564" s="6"/>
      <c r="J564" s="6"/>
      <c r="O564" s="10"/>
      <c r="P564" s="10"/>
      <c r="Q564" s="10"/>
    </row>
    <row r="565">
      <c r="G565" s="6"/>
      <c r="H565" s="6"/>
      <c r="I565" s="6"/>
      <c r="J565" s="6"/>
      <c r="O565" s="10"/>
      <c r="P565" s="10"/>
      <c r="Q565" s="10"/>
    </row>
    <row r="566">
      <c r="G566" s="6"/>
      <c r="H566" s="6"/>
      <c r="I566" s="6"/>
      <c r="J566" s="6"/>
      <c r="O566" s="10"/>
      <c r="P566" s="10"/>
      <c r="Q566" s="10"/>
    </row>
    <row r="567">
      <c r="G567" s="6"/>
      <c r="H567" s="6"/>
      <c r="I567" s="6"/>
      <c r="J567" s="6"/>
      <c r="O567" s="10"/>
      <c r="P567" s="10"/>
      <c r="Q567" s="10"/>
    </row>
    <row r="568">
      <c r="G568" s="6"/>
      <c r="H568" s="6"/>
      <c r="I568" s="6"/>
      <c r="J568" s="6"/>
      <c r="O568" s="10"/>
      <c r="P568" s="10"/>
      <c r="Q568" s="10"/>
    </row>
    <row r="569">
      <c r="G569" s="6"/>
      <c r="H569" s="6"/>
      <c r="I569" s="6"/>
      <c r="J569" s="6"/>
      <c r="O569" s="10"/>
      <c r="P569" s="10"/>
      <c r="Q569" s="10"/>
    </row>
    <row r="570">
      <c r="G570" s="6"/>
      <c r="H570" s="6"/>
      <c r="I570" s="6"/>
      <c r="J570" s="6"/>
      <c r="O570" s="10"/>
      <c r="P570" s="10"/>
      <c r="Q570" s="10"/>
    </row>
    <row r="571">
      <c r="G571" s="6"/>
      <c r="H571" s="6"/>
      <c r="I571" s="6"/>
      <c r="J571" s="6"/>
      <c r="O571" s="10"/>
      <c r="P571" s="10"/>
      <c r="Q571" s="10"/>
    </row>
    <row r="572">
      <c r="G572" s="6"/>
      <c r="H572" s="6"/>
      <c r="I572" s="6"/>
      <c r="J572" s="6"/>
      <c r="O572" s="10"/>
      <c r="P572" s="10"/>
      <c r="Q572" s="10"/>
    </row>
    <row r="573">
      <c r="G573" s="6"/>
      <c r="H573" s="6"/>
      <c r="I573" s="6"/>
      <c r="J573" s="6"/>
      <c r="O573" s="10"/>
      <c r="P573" s="10"/>
      <c r="Q573" s="10"/>
    </row>
    <row r="574">
      <c r="G574" s="6"/>
      <c r="H574" s="6"/>
      <c r="I574" s="6"/>
      <c r="J574" s="6"/>
      <c r="O574" s="10"/>
      <c r="P574" s="10"/>
      <c r="Q574" s="10"/>
    </row>
    <row r="575">
      <c r="G575" s="6"/>
      <c r="H575" s="6"/>
      <c r="I575" s="6"/>
      <c r="J575" s="6"/>
      <c r="O575" s="10"/>
      <c r="P575" s="10"/>
      <c r="Q575" s="10"/>
    </row>
    <row r="576">
      <c r="G576" s="6"/>
      <c r="H576" s="6"/>
      <c r="I576" s="6"/>
      <c r="J576" s="6"/>
      <c r="O576" s="10"/>
      <c r="P576" s="10"/>
      <c r="Q576" s="10"/>
    </row>
    <row r="577">
      <c r="G577" s="6"/>
      <c r="H577" s="6"/>
      <c r="I577" s="6"/>
      <c r="J577" s="6"/>
      <c r="O577" s="10"/>
      <c r="P577" s="10"/>
      <c r="Q577" s="10"/>
    </row>
    <row r="578">
      <c r="G578" s="6"/>
      <c r="H578" s="6"/>
      <c r="I578" s="6"/>
      <c r="J578" s="6"/>
      <c r="O578" s="10"/>
      <c r="P578" s="10"/>
      <c r="Q578" s="10"/>
    </row>
    <row r="579">
      <c r="G579" s="6"/>
      <c r="H579" s="6"/>
      <c r="I579" s="6"/>
      <c r="J579" s="6"/>
      <c r="O579" s="10"/>
      <c r="P579" s="10"/>
      <c r="Q579" s="10"/>
    </row>
    <row r="580">
      <c r="G580" s="6"/>
      <c r="H580" s="6"/>
      <c r="I580" s="6"/>
      <c r="J580" s="6"/>
      <c r="O580" s="10"/>
      <c r="P580" s="10"/>
      <c r="Q580" s="10"/>
    </row>
    <row r="581">
      <c r="G581" s="6"/>
      <c r="H581" s="6"/>
      <c r="I581" s="6"/>
      <c r="J581" s="6"/>
      <c r="O581" s="10"/>
      <c r="P581" s="10"/>
      <c r="Q581" s="10"/>
    </row>
    <row r="582">
      <c r="G582" s="6"/>
      <c r="H582" s="6"/>
      <c r="I582" s="6"/>
      <c r="J582" s="6"/>
      <c r="O582" s="10"/>
      <c r="P582" s="10"/>
      <c r="Q582" s="10"/>
    </row>
    <row r="583">
      <c r="G583" s="6"/>
      <c r="H583" s="6"/>
      <c r="I583" s="6"/>
      <c r="J583" s="6"/>
      <c r="O583" s="10"/>
      <c r="P583" s="10"/>
      <c r="Q583" s="10"/>
    </row>
    <row r="584">
      <c r="G584" s="6"/>
      <c r="H584" s="6"/>
      <c r="I584" s="6"/>
      <c r="J584" s="6"/>
      <c r="O584" s="10"/>
      <c r="P584" s="10"/>
      <c r="Q584" s="10"/>
    </row>
    <row r="585">
      <c r="G585" s="6"/>
      <c r="H585" s="6"/>
      <c r="I585" s="6"/>
      <c r="J585" s="6"/>
      <c r="O585" s="10"/>
      <c r="P585" s="10"/>
      <c r="Q585" s="10"/>
    </row>
    <row r="586">
      <c r="G586" s="6"/>
      <c r="H586" s="6"/>
      <c r="I586" s="6"/>
      <c r="J586" s="6"/>
      <c r="O586" s="10"/>
      <c r="P586" s="10"/>
      <c r="Q586" s="10"/>
    </row>
    <row r="587">
      <c r="G587" s="6"/>
      <c r="H587" s="6"/>
      <c r="I587" s="6"/>
      <c r="J587" s="6"/>
      <c r="O587" s="10"/>
      <c r="P587" s="10"/>
      <c r="Q587" s="10"/>
    </row>
    <row r="588">
      <c r="G588" s="6"/>
      <c r="H588" s="6"/>
      <c r="I588" s="6"/>
      <c r="J588" s="6"/>
      <c r="O588" s="10"/>
      <c r="P588" s="10"/>
      <c r="Q588" s="10"/>
    </row>
    <row r="589">
      <c r="G589" s="6"/>
      <c r="H589" s="6"/>
      <c r="I589" s="6"/>
      <c r="J589" s="6"/>
      <c r="O589" s="10"/>
      <c r="P589" s="10"/>
      <c r="Q589" s="10"/>
    </row>
    <row r="590">
      <c r="G590" s="6"/>
      <c r="H590" s="6"/>
      <c r="I590" s="6"/>
      <c r="J590" s="6"/>
      <c r="O590" s="10"/>
      <c r="P590" s="10"/>
      <c r="Q590" s="10"/>
    </row>
    <row r="591">
      <c r="G591" s="6"/>
      <c r="H591" s="6"/>
      <c r="I591" s="6"/>
      <c r="J591" s="6"/>
      <c r="O591" s="10"/>
      <c r="P591" s="10"/>
      <c r="Q591" s="10"/>
    </row>
    <row r="592">
      <c r="G592" s="6"/>
      <c r="H592" s="6"/>
      <c r="I592" s="6"/>
      <c r="J592" s="6"/>
      <c r="O592" s="10"/>
      <c r="P592" s="10"/>
      <c r="Q592" s="10"/>
    </row>
    <row r="593">
      <c r="G593" s="6"/>
      <c r="H593" s="6"/>
      <c r="I593" s="6"/>
      <c r="J593" s="6"/>
      <c r="O593" s="10"/>
      <c r="P593" s="10"/>
      <c r="Q593" s="10"/>
    </row>
    <row r="594">
      <c r="G594" s="6"/>
      <c r="H594" s="6"/>
      <c r="I594" s="6"/>
      <c r="J594" s="6"/>
      <c r="O594" s="10"/>
      <c r="P594" s="10"/>
      <c r="Q594" s="10"/>
    </row>
    <row r="595">
      <c r="G595" s="6"/>
      <c r="H595" s="6"/>
      <c r="I595" s="6"/>
      <c r="J595" s="6"/>
      <c r="O595" s="10"/>
      <c r="P595" s="10"/>
      <c r="Q595" s="10"/>
    </row>
    <row r="596">
      <c r="G596" s="6"/>
      <c r="H596" s="6"/>
      <c r="I596" s="6"/>
      <c r="J596" s="6"/>
      <c r="O596" s="10"/>
      <c r="P596" s="10"/>
      <c r="Q596" s="10"/>
    </row>
    <row r="597">
      <c r="G597" s="6"/>
      <c r="H597" s="6"/>
      <c r="I597" s="6"/>
      <c r="J597" s="6"/>
      <c r="O597" s="10"/>
      <c r="P597" s="10"/>
      <c r="Q597" s="10"/>
    </row>
    <row r="598">
      <c r="G598" s="6"/>
      <c r="H598" s="6"/>
      <c r="I598" s="6"/>
      <c r="J598" s="6"/>
      <c r="O598" s="10"/>
      <c r="P598" s="10"/>
      <c r="Q598" s="10"/>
    </row>
    <row r="599">
      <c r="G599" s="6"/>
      <c r="H599" s="6"/>
      <c r="I599" s="6"/>
      <c r="J599" s="6"/>
      <c r="O599" s="10"/>
      <c r="P599" s="10"/>
      <c r="Q599" s="10"/>
    </row>
    <row r="600">
      <c r="G600" s="6"/>
      <c r="H600" s="6"/>
      <c r="I600" s="6"/>
      <c r="J600" s="6"/>
      <c r="O600" s="10"/>
      <c r="P600" s="10"/>
      <c r="Q600" s="10"/>
    </row>
    <row r="601">
      <c r="G601" s="6"/>
      <c r="H601" s="6"/>
      <c r="I601" s="6"/>
      <c r="J601" s="6"/>
      <c r="O601" s="10"/>
      <c r="P601" s="10"/>
      <c r="Q601" s="10"/>
    </row>
    <row r="602">
      <c r="G602" s="6"/>
      <c r="H602" s="6"/>
      <c r="I602" s="6"/>
      <c r="J602" s="6"/>
      <c r="O602" s="10"/>
      <c r="P602" s="10"/>
      <c r="Q602" s="10"/>
    </row>
    <row r="603">
      <c r="G603" s="6"/>
      <c r="H603" s="6"/>
      <c r="I603" s="6"/>
      <c r="J603" s="6"/>
      <c r="O603" s="10"/>
      <c r="P603" s="10"/>
      <c r="Q603" s="10"/>
    </row>
    <row r="604">
      <c r="G604" s="6"/>
      <c r="H604" s="6"/>
      <c r="I604" s="6"/>
      <c r="J604" s="6"/>
      <c r="O604" s="10"/>
      <c r="P604" s="10"/>
      <c r="Q604" s="10"/>
    </row>
    <row r="605">
      <c r="G605" s="6"/>
      <c r="H605" s="6"/>
      <c r="I605" s="6"/>
      <c r="J605" s="6"/>
      <c r="O605" s="10"/>
      <c r="P605" s="10"/>
      <c r="Q605" s="10"/>
    </row>
    <row r="606">
      <c r="G606" s="6"/>
      <c r="H606" s="6"/>
      <c r="I606" s="6"/>
      <c r="J606" s="6"/>
      <c r="O606" s="10"/>
      <c r="P606" s="10"/>
      <c r="Q606" s="10"/>
    </row>
    <row r="607">
      <c r="G607" s="6"/>
      <c r="H607" s="6"/>
      <c r="I607" s="6"/>
      <c r="J607" s="6"/>
      <c r="O607" s="10"/>
      <c r="P607" s="10"/>
      <c r="Q607" s="10"/>
    </row>
    <row r="608">
      <c r="G608" s="6"/>
      <c r="H608" s="6"/>
      <c r="I608" s="6"/>
      <c r="J608" s="6"/>
      <c r="O608" s="10"/>
      <c r="P608" s="10"/>
      <c r="Q608" s="10"/>
    </row>
    <row r="609">
      <c r="G609" s="6"/>
      <c r="H609" s="6"/>
      <c r="I609" s="6"/>
      <c r="J609" s="6"/>
      <c r="O609" s="10"/>
      <c r="P609" s="10"/>
      <c r="Q609" s="10"/>
    </row>
    <row r="610">
      <c r="G610" s="6"/>
      <c r="H610" s="6"/>
      <c r="I610" s="6"/>
      <c r="J610" s="6"/>
      <c r="O610" s="10"/>
      <c r="P610" s="10"/>
      <c r="Q610" s="10"/>
    </row>
    <row r="611">
      <c r="G611" s="6"/>
      <c r="H611" s="6"/>
      <c r="I611" s="6"/>
      <c r="J611" s="6"/>
      <c r="O611" s="10"/>
      <c r="P611" s="10"/>
      <c r="Q611" s="10"/>
    </row>
    <row r="612">
      <c r="G612" s="6"/>
      <c r="H612" s="6"/>
      <c r="I612" s="6"/>
      <c r="J612" s="6"/>
      <c r="O612" s="10"/>
      <c r="P612" s="10"/>
      <c r="Q612" s="10"/>
    </row>
    <row r="613">
      <c r="G613" s="6"/>
      <c r="H613" s="6"/>
      <c r="I613" s="6"/>
      <c r="J613" s="6"/>
      <c r="O613" s="10"/>
      <c r="P613" s="10"/>
      <c r="Q613" s="10"/>
    </row>
    <row r="614">
      <c r="G614" s="6"/>
      <c r="H614" s="6"/>
      <c r="I614" s="6"/>
      <c r="J614" s="6"/>
      <c r="O614" s="10"/>
      <c r="P614" s="10"/>
      <c r="Q614" s="10"/>
    </row>
    <row r="615">
      <c r="G615" s="6"/>
      <c r="H615" s="6"/>
      <c r="I615" s="6"/>
      <c r="J615" s="6"/>
      <c r="O615" s="10"/>
      <c r="P615" s="10"/>
      <c r="Q615" s="10"/>
    </row>
    <row r="616">
      <c r="G616" s="6"/>
      <c r="H616" s="6"/>
      <c r="I616" s="6"/>
      <c r="J616" s="6"/>
      <c r="O616" s="10"/>
      <c r="P616" s="10"/>
      <c r="Q616" s="10"/>
    </row>
    <row r="617">
      <c r="G617" s="6"/>
      <c r="H617" s="6"/>
      <c r="I617" s="6"/>
      <c r="J617" s="6"/>
      <c r="O617" s="10"/>
      <c r="P617" s="10"/>
      <c r="Q617" s="10"/>
    </row>
    <row r="618">
      <c r="G618" s="6"/>
      <c r="H618" s="6"/>
      <c r="I618" s="6"/>
      <c r="J618" s="6"/>
      <c r="O618" s="10"/>
      <c r="P618" s="10"/>
      <c r="Q618" s="10"/>
    </row>
    <row r="619">
      <c r="G619" s="6"/>
      <c r="H619" s="6"/>
      <c r="I619" s="6"/>
      <c r="J619" s="6"/>
      <c r="O619" s="10"/>
      <c r="P619" s="10"/>
      <c r="Q619" s="10"/>
    </row>
    <row r="620">
      <c r="G620" s="6"/>
      <c r="H620" s="6"/>
      <c r="I620" s="6"/>
      <c r="J620" s="6"/>
      <c r="O620" s="10"/>
      <c r="P620" s="10"/>
      <c r="Q620" s="10"/>
    </row>
    <row r="621">
      <c r="G621" s="6"/>
      <c r="H621" s="6"/>
      <c r="I621" s="6"/>
      <c r="J621" s="6"/>
      <c r="O621" s="10"/>
      <c r="P621" s="10"/>
      <c r="Q621" s="10"/>
    </row>
    <row r="622">
      <c r="G622" s="6"/>
      <c r="H622" s="6"/>
      <c r="I622" s="6"/>
      <c r="J622" s="6"/>
      <c r="O622" s="10"/>
      <c r="P622" s="10"/>
      <c r="Q622" s="10"/>
    </row>
    <row r="623">
      <c r="G623" s="6"/>
      <c r="H623" s="6"/>
      <c r="I623" s="6"/>
      <c r="J623" s="6"/>
      <c r="O623" s="10"/>
      <c r="P623" s="10"/>
      <c r="Q623" s="10"/>
    </row>
    <row r="624">
      <c r="G624" s="6"/>
      <c r="H624" s="6"/>
      <c r="I624" s="6"/>
      <c r="J624" s="6"/>
      <c r="O624" s="10"/>
      <c r="P624" s="10"/>
      <c r="Q624" s="10"/>
    </row>
    <row r="625">
      <c r="G625" s="6"/>
      <c r="H625" s="6"/>
      <c r="I625" s="6"/>
      <c r="J625" s="6"/>
      <c r="O625" s="10"/>
      <c r="P625" s="10"/>
      <c r="Q625" s="10"/>
    </row>
    <row r="626">
      <c r="G626" s="6"/>
      <c r="H626" s="6"/>
      <c r="I626" s="6"/>
      <c r="J626" s="6"/>
      <c r="O626" s="10"/>
      <c r="P626" s="10"/>
      <c r="Q626" s="10"/>
    </row>
    <row r="627">
      <c r="G627" s="6"/>
      <c r="H627" s="6"/>
      <c r="I627" s="6"/>
      <c r="J627" s="6"/>
      <c r="O627" s="10"/>
      <c r="P627" s="10"/>
      <c r="Q627" s="10"/>
    </row>
    <row r="628">
      <c r="G628" s="6"/>
      <c r="H628" s="6"/>
      <c r="I628" s="6"/>
      <c r="J628" s="6"/>
      <c r="O628" s="10"/>
      <c r="P628" s="10"/>
      <c r="Q628" s="10"/>
    </row>
    <row r="629">
      <c r="G629" s="6"/>
      <c r="H629" s="6"/>
      <c r="I629" s="6"/>
      <c r="J629" s="6"/>
      <c r="O629" s="10"/>
      <c r="P629" s="10"/>
      <c r="Q629" s="10"/>
    </row>
    <row r="630">
      <c r="G630" s="6"/>
      <c r="H630" s="6"/>
      <c r="I630" s="6"/>
      <c r="J630" s="6"/>
      <c r="O630" s="10"/>
      <c r="P630" s="10"/>
      <c r="Q630" s="10"/>
    </row>
    <row r="631">
      <c r="G631" s="6"/>
      <c r="H631" s="6"/>
      <c r="I631" s="6"/>
      <c r="J631" s="6"/>
      <c r="O631" s="10"/>
      <c r="P631" s="10"/>
      <c r="Q631" s="10"/>
    </row>
    <row r="632">
      <c r="G632" s="6"/>
      <c r="H632" s="6"/>
      <c r="I632" s="6"/>
      <c r="J632" s="6"/>
      <c r="O632" s="10"/>
      <c r="P632" s="10"/>
      <c r="Q632" s="10"/>
    </row>
    <row r="633">
      <c r="G633" s="6"/>
      <c r="H633" s="6"/>
      <c r="I633" s="6"/>
      <c r="J633" s="6"/>
      <c r="O633" s="10"/>
      <c r="P633" s="10"/>
      <c r="Q633" s="10"/>
    </row>
    <row r="634">
      <c r="G634" s="6"/>
      <c r="H634" s="6"/>
      <c r="I634" s="6"/>
      <c r="J634" s="6"/>
      <c r="O634" s="10"/>
      <c r="P634" s="10"/>
      <c r="Q634" s="10"/>
    </row>
    <row r="635">
      <c r="G635" s="6"/>
      <c r="H635" s="6"/>
      <c r="I635" s="6"/>
      <c r="J635" s="6"/>
      <c r="O635" s="10"/>
      <c r="P635" s="10"/>
      <c r="Q635" s="10"/>
    </row>
    <row r="636">
      <c r="G636" s="6"/>
      <c r="H636" s="6"/>
      <c r="I636" s="6"/>
      <c r="J636" s="6"/>
      <c r="O636" s="10"/>
      <c r="P636" s="10"/>
      <c r="Q636" s="10"/>
    </row>
    <row r="637">
      <c r="G637" s="6"/>
      <c r="H637" s="6"/>
      <c r="I637" s="6"/>
      <c r="J637" s="6"/>
      <c r="O637" s="10"/>
      <c r="P637" s="10"/>
      <c r="Q637" s="10"/>
    </row>
    <row r="638">
      <c r="G638" s="6"/>
      <c r="H638" s="6"/>
      <c r="I638" s="6"/>
      <c r="J638" s="6"/>
      <c r="O638" s="10"/>
      <c r="P638" s="10"/>
      <c r="Q638" s="10"/>
    </row>
    <row r="639">
      <c r="G639" s="6"/>
      <c r="H639" s="6"/>
      <c r="I639" s="6"/>
      <c r="J639" s="6"/>
      <c r="O639" s="10"/>
      <c r="P639" s="10"/>
      <c r="Q639" s="10"/>
    </row>
    <row r="640">
      <c r="G640" s="6"/>
      <c r="H640" s="6"/>
      <c r="I640" s="6"/>
      <c r="J640" s="6"/>
      <c r="O640" s="10"/>
      <c r="P640" s="10"/>
      <c r="Q640" s="10"/>
    </row>
    <row r="641">
      <c r="G641" s="6"/>
      <c r="H641" s="6"/>
      <c r="I641" s="6"/>
      <c r="J641" s="6"/>
      <c r="O641" s="10"/>
      <c r="P641" s="10"/>
      <c r="Q641" s="10"/>
    </row>
    <row r="642">
      <c r="G642" s="6"/>
      <c r="H642" s="6"/>
      <c r="I642" s="6"/>
      <c r="J642" s="6"/>
      <c r="O642" s="10"/>
      <c r="P642" s="10"/>
      <c r="Q642" s="10"/>
    </row>
    <row r="643">
      <c r="G643" s="6"/>
      <c r="H643" s="6"/>
      <c r="I643" s="6"/>
      <c r="J643" s="6"/>
      <c r="O643" s="10"/>
      <c r="P643" s="10"/>
      <c r="Q643" s="10"/>
    </row>
    <row r="644">
      <c r="G644" s="6"/>
      <c r="H644" s="6"/>
      <c r="I644" s="6"/>
      <c r="J644" s="6"/>
      <c r="O644" s="10"/>
      <c r="P644" s="10"/>
      <c r="Q644" s="10"/>
    </row>
    <row r="645">
      <c r="G645" s="6"/>
      <c r="H645" s="6"/>
      <c r="I645" s="6"/>
      <c r="J645" s="6"/>
      <c r="O645" s="10"/>
      <c r="P645" s="10"/>
      <c r="Q645" s="10"/>
    </row>
    <row r="646">
      <c r="G646" s="6"/>
      <c r="H646" s="6"/>
      <c r="I646" s="6"/>
      <c r="J646" s="6"/>
      <c r="O646" s="10"/>
      <c r="P646" s="10"/>
      <c r="Q646" s="10"/>
    </row>
    <row r="647">
      <c r="G647" s="6"/>
      <c r="H647" s="6"/>
      <c r="I647" s="6"/>
      <c r="J647" s="6"/>
      <c r="O647" s="10"/>
      <c r="P647" s="10"/>
      <c r="Q647" s="10"/>
    </row>
    <row r="648">
      <c r="G648" s="6"/>
      <c r="H648" s="6"/>
      <c r="I648" s="6"/>
      <c r="J648" s="6"/>
      <c r="O648" s="10"/>
      <c r="P648" s="10"/>
      <c r="Q648" s="10"/>
    </row>
    <row r="649">
      <c r="G649" s="6"/>
      <c r="H649" s="6"/>
      <c r="I649" s="6"/>
      <c r="J649" s="6"/>
      <c r="O649" s="10"/>
      <c r="P649" s="10"/>
      <c r="Q649" s="10"/>
    </row>
    <row r="650">
      <c r="G650" s="6"/>
      <c r="H650" s="6"/>
      <c r="I650" s="6"/>
      <c r="J650" s="6"/>
      <c r="O650" s="10"/>
      <c r="P650" s="10"/>
      <c r="Q650" s="10"/>
    </row>
    <row r="651">
      <c r="G651" s="6"/>
      <c r="H651" s="6"/>
      <c r="I651" s="6"/>
      <c r="J651" s="6"/>
      <c r="O651" s="10"/>
      <c r="P651" s="10"/>
      <c r="Q651" s="10"/>
    </row>
    <row r="652">
      <c r="G652" s="6"/>
      <c r="H652" s="6"/>
      <c r="I652" s="6"/>
      <c r="J652" s="6"/>
      <c r="O652" s="10"/>
      <c r="P652" s="10"/>
      <c r="Q652" s="10"/>
    </row>
    <row r="653">
      <c r="G653" s="6"/>
      <c r="H653" s="6"/>
      <c r="I653" s="6"/>
      <c r="J653" s="6"/>
      <c r="O653" s="10"/>
      <c r="P653" s="10"/>
      <c r="Q653" s="10"/>
    </row>
    <row r="654">
      <c r="G654" s="6"/>
      <c r="H654" s="6"/>
      <c r="I654" s="6"/>
      <c r="J654" s="6"/>
      <c r="O654" s="10"/>
      <c r="P654" s="10"/>
      <c r="Q654" s="10"/>
    </row>
    <row r="655">
      <c r="G655" s="6"/>
      <c r="H655" s="6"/>
      <c r="I655" s="6"/>
      <c r="J655" s="6"/>
      <c r="O655" s="10"/>
      <c r="P655" s="10"/>
      <c r="Q655" s="10"/>
    </row>
    <row r="656">
      <c r="G656" s="6"/>
      <c r="H656" s="6"/>
      <c r="I656" s="6"/>
      <c r="J656" s="6"/>
      <c r="O656" s="10"/>
      <c r="P656" s="10"/>
      <c r="Q656" s="10"/>
    </row>
    <row r="657">
      <c r="G657" s="6"/>
      <c r="H657" s="6"/>
      <c r="I657" s="6"/>
      <c r="J657" s="6"/>
      <c r="O657" s="10"/>
      <c r="P657" s="10"/>
      <c r="Q657" s="10"/>
    </row>
    <row r="658">
      <c r="G658" s="6"/>
      <c r="H658" s="6"/>
      <c r="I658" s="6"/>
      <c r="J658" s="6"/>
      <c r="O658" s="10"/>
      <c r="P658" s="10"/>
      <c r="Q658" s="10"/>
    </row>
    <row r="659">
      <c r="G659" s="6"/>
      <c r="H659" s="6"/>
      <c r="I659" s="6"/>
      <c r="J659" s="6"/>
      <c r="O659" s="10"/>
      <c r="P659" s="10"/>
      <c r="Q659" s="10"/>
    </row>
    <row r="660">
      <c r="G660" s="6"/>
      <c r="H660" s="6"/>
      <c r="I660" s="6"/>
      <c r="J660" s="6"/>
      <c r="O660" s="10"/>
      <c r="P660" s="10"/>
      <c r="Q660" s="10"/>
    </row>
    <row r="661">
      <c r="G661" s="6"/>
      <c r="H661" s="6"/>
      <c r="I661" s="6"/>
      <c r="J661" s="6"/>
      <c r="O661" s="10"/>
      <c r="P661" s="10"/>
      <c r="Q661" s="10"/>
    </row>
    <row r="662">
      <c r="G662" s="6"/>
      <c r="H662" s="6"/>
      <c r="I662" s="6"/>
      <c r="J662" s="6"/>
      <c r="O662" s="10"/>
      <c r="P662" s="10"/>
      <c r="Q662" s="10"/>
    </row>
    <row r="663">
      <c r="G663" s="6"/>
      <c r="H663" s="6"/>
      <c r="I663" s="6"/>
      <c r="J663" s="6"/>
      <c r="O663" s="10"/>
      <c r="P663" s="10"/>
      <c r="Q663" s="10"/>
    </row>
    <row r="664">
      <c r="G664" s="6"/>
      <c r="H664" s="6"/>
      <c r="I664" s="6"/>
      <c r="J664" s="6"/>
      <c r="O664" s="10"/>
      <c r="P664" s="10"/>
      <c r="Q664" s="10"/>
    </row>
    <row r="665">
      <c r="G665" s="6"/>
      <c r="H665" s="6"/>
      <c r="I665" s="6"/>
      <c r="J665" s="6"/>
      <c r="O665" s="10"/>
      <c r="P665" s="10"/>
      <c r="Q665" s="10"/>
    </row>
    <row r="666">
      <c r="G666" s="6"/>
      <c r="H666" s="6"/>
      <c r="I666" s="6"/>
      <c r="J666" s="6"/>
      <c r="O666" s="10"/>
      <c r="P666" s="10"/>
      <c r="Q666" s="10"/>
    </row>
    <row r="667">
      <c r="G667" s="6"/>
      <c r="H667" s="6"/>
      <c r="I667" s="6"/>
      <c r="J667" s="6"/>
      <c r="O667" s="10"/>
      <c r="P667" s="10"/>
      <c r="Q667" s="10"/>
    </row>
    <row r="668">
      <c r="G668" s="6"/>
      <c r="H668" s="6"/>
      <c r="I668" s="6"/>
      <c r="J668" s="6"/>
      <c r="O668" s="10"/>
      <c r="P668" s="10"/>
      <c r="Q668" s="10"/>
    </row>
    <row r="669">
      <c r="G669" s="6"/>
      <c r="H669" s="6"/>
      <c r="I669" s="6"/>
      <c r="J669" s="6"/>
      <c r="O669" s="10"/>
      <c r="P669" s="10"/>
      <c r="Q669" s="10"/>
    </row>
    <row r="670">
      <c r="G670" s="6"/>
      <c r="H670" s="6"/>
      <c r="I670" s="6"/>
      <c r="J670" s="6"/>
      <c r="O670" s="10"/>
      <c r="P670" s="10"/>
      <c r="Q670" s="10"/>
    </row>
    <row r="671">
      <c r="G671" s="6"/>
      <c r="H671" s="6"/>
      <c r="I671" s="6"/>
      <c r="J671" s="6"/>
      <c r="O671" s="10"/>
      <c r="P671" s="10"/>
      <c r="Q671" s="10"/>
    </row>
    <row r="672">
      <c r="G672" s="6"/>
      <c r="H672" s="6"/>
      <c r="I672" s="6"/>
      <c r="J672" s="6"/>
      <c r="O672" s="10"/>
      <c r="P672" s="10"/>
      <c r="Q672" s="10"/>
    </row>
    <row r="673">
      <c r="G673" s="6"/>
      <c r="H673" s="6"/>
      <c r="I673" s="6"/>
      <c r="J673" s="6"/>
      <c r="O673" s="10"/>
      <c r="P673" s="10"/>
      <c r="Q673" s="10"/>
    </row>
    <row r="674">
      <c r="G674" s="6"/>
      <c r="H674" s="6"/>
      <c r="I674" s="6"/>
      <c r="J674" s="6"/>
      <c r="O674" s="10"/>
      <c r="P674" s="10"/>
      <c r="Q674" s="10"/>
    </row>
    <row r="675">
      <c r="G675" s="6"/>
      <c r="H675" s="6"/>
      <c r="I675" s="6"/>
      <c r="J675" s="6"/>
      <c r="O675" s="10"/>
      <c r="P675" s="10"/>
      <c r="Q675" s="10"/>
    </row>
    <row r="676">
      <c r="G676" s="6"/>
      <c r="H676" s="6"/>
      <c r="I676" s="6"/>
      <c r="J676" s="6"/>
      <c r="O676" s="10"/>
      <c r="P676" s="10"/>
      <c r="Q676" s="10"/>
    </row>
    <row r="677">
      <c r="G677" s="6"/>
      <c r="H677" s="6"/>
      <c r="I677" s="6"/>
      <c r="J677" s="6"/>
      <c r="O677" s="10"/>
      <c r="P677" s="10"/>
      <c r="Q677" s="10"/>
    </row>
    <row r="678">
      <c r="G678" s="6"/>
      <c r="H678" s="6"/>
      <c r="I678" s="6"/>
      <c r="J678" s="6"/>
      <c r="O678" s="10"/>
      <c r="P678" s="10"/>
      <c r="Q678" s="10"/>
    </row>
    <row r="679">
      <c r="G679" s="6"/>
      <c r="H679" s="6"/>
      <c r="I679" s="6"/>
      <c r="J679" s="6"/>
      <c r="O679" s="10"/>
      <c r="P679" s="10"/>
      <c r="Q679" s="10"/>
    </row>
    <row r="680">
      <c r="G680" s="6"/>
      <c r="H680" s="6"/>
      <c r="I680" s="6"/>
      <c r="J680" s="6"/>
      <c r="O680" s="10"/>
      <c r="P680" s="10"/>
      <c r="Q680" s="10"/>
    </row>
    <row r="681">
      <c r="G681" s="6"/>
      <c r="H681" s="6"/>
      <c r="I681" s="6"/>
      <c r="J681" s="6"/>
      <c r="O681" s="10"/>
      <c r="P681" s="10"/>
      <c r="Q681" s="10"/>
    </row>
    <row r="682">
      <c r="G682" s="6"/>
      <c r="H682" s="6"/>
      <c r="I682" s="6"/>
      <c r="J682" s="6"/>
      <c r="O682" s="10"/>
      <c r="P682" s="10"/>
      <c r="Q682" s="10"/>
    </row>
    <row r="683">
      <c r="G683" s="6"/>
      <c r="H683" s="6"/>
      <c r="I683" s="6"/>
      <c r="J683" s="6"/>
      <c r="O683" s="10"/>
      <c r="P683" s="10"/>
      <c r="Q683" s="10"/>
    </row>
    <row r="684">
      <c r="G684" s="6"/>
      <c r="H684" s="6"/>
      <c r="I684" s="6"/>
      <c r="J684" s="6"/>
      <c r="O684" s="10"/>
      <c r="P684" s="10"/>
      <c r="Q684" s="10"/>
    </row>
    <row r="685">
      <c r="G685" s="6"/>
      <c r="H685" s="6"/>
      <c r="I685" s="6"/>
      <c r="J685" s="6"/>
      <c r="O685" s="10"/>
      <c r="P685" s="10"/>
      <c r="Q685" s="10"/>
    </row>
    <row r="686">
      <c r="G686" s="6"/>
      <c r="H686" s="6"/>
      <c r="I686" s="6"/>
      <c r="J686" s="6"/>
      <c r="O686" s="10"/>
      <c r="P686" s="10"/>
      <c r="Q686" s="10"/>
    </row>
    <row r="687">
      <c r="G687" s="6"/>
      <c r="H687" s="6"/>
      <c r="I687" s="6"/>
      <c r="J687" s="6"/>
      <c r="O687" s="10"/>
      <c r="P687" s="10"/>
      <c r="Q687" s="10"/>
    </row>
    <row r="688">
      <c r="G688" s="6"/>
      <c r="H688" s="6"/>
      <c r="I688" s="6"/>
      <c r="J688" s="6"/>
      <c r="O688" s="10"/>
      <c r="P688" s="10"/>
      <c r="Q688" s="10"/>
    </row>
    <row r="689">
      <c r="G689" s="6"/>
      <c r="H689" s="6"/>
      <c r="I689" s="6"/>
      <c r="J689" s="6"/>
      <c r="O689" s="10"/>
      <c r="P689" s="10"/>
      <c r="Q689" s="10"/>
    </row>
    <row r="690">
      <c r="G690" s="6"/>
      <c r="H690" s="6"/>
      <c r="I690" s="6"/>
      <c r="J690" s="6"/>
      <c r="O690" s="10"/>
      <c r="P690" s="10"/>
      <c r="Q690" s="10"/>
    </row>
    <row r="691">
      <c r="G691" s="6"/>
      <c r="H691" s="6"/>
      <c r="I691" s="6"/>
      <c r="J691" s="6"/>
      <c r="O691" s="10"/>
      <c r="P691" s="10"/>
      <c r="Q691" s="10"/>
    </row>
    <row r="692">
      <c r="G692" s="6"/>
      <c r="H692" s="6"/>
      <c r="I692" s="6"/>
      <c r="J692" s="6"/>
      <c r="O692" s="10"/>
      <c r="P692" s="10"/>
      <c r="Q692" s="10"/>
    </row>
    <row r="693">
      <c r="G693" s="6"/>
      <c r="H693" s="6"/>
      <c r="I693" s="6"/>
      <c r="J693" s="6"/>
      <c r="O693" s="10"/>
      <c r="P693" s="10"/>
      <c r="Q693" s="10"/>
    </row>
    <row r="694">
      <c r="G694" s="6"/>
      <c r="H694" s="6"/>
      <c r="I694" s="6"/>
      <c r="J694" s="6"/>
      <c r="O694" s="10"/>
      <c r="P694" s="10"/>
      <c r="Q694" s="10"/>
    </row>
    <row r="695">
      <c r="G695" s="6"/>
      <c r="H695" s="6"/>
      <c r="I695" s="6"/>
      <c r="J695" s="6"/>
      <c r="O695" s="10"/>
      <c r="P695" s="10"/>
      <c r="Q695" s="10"/>
    </row>
    <row r="696">
      <c r="G696" s="6"/>
      <c r="H696" s="6"/>
      <c r="I696" s="6"/>
      <c r="J696" s="6"/>
      <c r="O696" s="10"/>
      <c r="P696" s="10"/>
      <c r="Q696" s="10"/>
    </row>
    <row r="697">
      <c r="G697" s="6"/>
      <c r="H697" s="6"/>
      <c r="I697" s="6"/>
      <c r="J697" s="6"/>
      <c r="O697" s="10"/>
      <c r="P697" s="10"/>
      <c r="Q697" s="10"/>
    </row>
    <row r="698">
      <c r="G698" s="6"/>
      <c r="H698" s="6"/>
      <c r="I698" s="6"/>
      <c r="J698" s="6"/>
      <c r="O698" s="10"/>
      <c r="P698" s="10"/>
      <c r="Q698" s="10"/>
    </row>
    <row r="699">
      <c r="G699" s="6"/>
      <c r="H699" s="6"/>
      <c r="I699" s="6"/>
      <c r="J699" s="6"/>
      <c r="O699" s="10"/>
      <c r="P699" s="10"/>
      <c r="Q699" s="10"/>
    </row>
    <row r="700">
      <c r="G700" s="6"/>
      <c r="H700" s="6"/>
      <c r="I700" s="6"/>
      <c r="J700" s="6"/>
      <c r="O700" s="10"/>
      <c r="P700" s="10"/>
      <c r="Q700" s="10"/>
    </row>
    <row r="701">
      <c r="G701" s="6"/>
      <c r="H701" s="6"/>
      <c r="I701" s="6"/>
      <c r="J701" s="6"/>
      <c r="O701" s="10"/>
      <c r="P701" s="10"/>
      <c r="Q701" s="10"/>
    </row>
    <row r="702">
      <c r="G702" s="6"/>
      <c r="H702" s="6"/>
      <c r="I702" s="6"/>
      <c r="J702" s="6"/>
      <c r="O702" s="10"/>
      <c r="P702" s="10"/>
      <c r="Q702" s="10"/>
    </row>
    <row r="703">
      <c r="G703" s="6"/>
      <c r="H703" s="6"/>
      <c r="I703" s="6"/>
      <c r="J703" s="6"/>
      <c r="O703" s="10"/>
      <c r="P703" s="10"/>
      <c r="Q703" s="10"/>
    </row>
    <row r="704">
      <c r="G704" s="6"/>
      <c r="H704" s="6"/>
      <c r="I704" s="6"/>
      <c r="J704" s="6"/>
      <c r="O704" s="10"/>
      <c r="P704" s="10"/>
      <c r="Q704" s="10"/>
    </row>
    <row r="705">
      <c r="G705" s="6"/>
      <c r="H705" s="6"/>
      <c r="I705" s="6"/>
      <c r="J705" s="6"/>
      <c r="O705" s="10"/>
      <c r="P705" s="10"/>
      <c r="Q705" s="10"/>
    </row>
    <row r="706">
      <c r="G706" s="6"/>
      <c r="H706" s="6"/>
      <c r="I706" s="6"/>
      <c r="J706" s="6"/>
      <c r="O706" s="10"/>
      <c r="P706" s="10"/>
      <c r="Q706" s="10"/>
    </row>
    <row r="707">
      <c r="G707" s="6"/>
      <c r="H707" s="6"/>
      <c r="I707" s="6"/>
      <c r="J707" s="6"/>
      <c r="O707" s="10"/>
      <c r="P707" s="10"/>
      <c r="Q707" s="10"/>
    </row>
    <row r="708">
      <c r="G708" s="6"/>
      <c r="H708" s="6"/>
      <c r="I708" s="6"/>
      <c r="J708" s="6"/>
      <c r="O708" s="10"/>
      <c r="P708" s="10"/>
      <c r="Q708" s="10"/>
    </row>
    <row r="709">
      <c r="G709" s="6"/>
      <c r="H709" s="6"/>
      <c r="I709" s="6"/>
      <c r="J709" s="6"/>
      <c r="O709" s="10"/>
      <c r="P709" s="10"/>
      <c r="Q709" s="10"/>
    </row>
    <row r="710">
      <c r="G710" s="6"/>
      <c r="H710" s="6"/>
      <c r="I710" s="6"/>
      <c r="J710" s="6"/>
      <c r="O710" s="10"/>
      <c r="P710" s="10"/>
      <c r="Q710" s="10"/>
    </row>
    <row r="711">
      <c r="G711" s="6"/>
      <c r="H711" s="6"/>
      <c r="I711" s="6"/>
      <c r="J711" s="6"/>
      <c r="O711" s="10"/>
      <c r="P711" s="10"/>
      <c r="Q711" s="10"/>
    </row>
    <row r="712">
      <c r="G712" s="6"/>
      <c r="H712" s="6"/>
      <c r="I712" s="6"/>
      <c r="J712" s="6"/>
      <c r="O712" s="10"/>
      <c r="P712" s="10"/>
      <c r="Q712" s="10"/>
    </row>
    <row r="713">
      <c r="G713" s="6"/>
      <c r="H713" s="6"/>
      <c r="I713" s="6"/>
      <c r="J713" s="6"/>
      <c r="O713" s="10"/>
      <c r="P713" s="10"/>
      <c r="Q713" s="10"/>
    </row>
    <row r="714">
      <c r="G714" s="6"/>
      <c r="H714" s="6"/>
      <c r="I714" s="6"/>
      <c r="J714" s="6"/>
      <c r="O714" s="10"/>
      <c r="P714" s="10"/>
      <c r="Q714" s="10"/>
    </row>
    <row r="715">
      <c r="G715" s="6"/>
      <c r="H715" s="6"/>
      <c r="I715" s="6"/>
      <c r="J715" s="6"/>
      <c r="O715" s="10"/>
      <c r="P715" s="10"/>
      <c r="Q715" s="10"/>
    </row>
    <row r="716">
      <c r="G716" s="6"/>
      <c r="H716" s="6"/>
      <c r="I716" s="6"/>
      <c r="J716" s="6"/>
      <c r="O716" s="10"/>
      <c r="P716" s="10"/>
      <c r="Q716" s="10"/>
    </row>
    <row r="717">
      <c r="G717" s="6"/>
      <c r="H717" s="6"/>
      <c r="I717" s="6"/>
      <c r="J717" s="6"/>
      <c r="O717" s="10"/>
      <c r="P717" s="10"/>
      <c r="Q717" s="10"/>
    </row>
    <row r="718">
      <c r="G718" s="6"/>
      <c r="H718" s="6"/>
      <c r="I718" s="6"/>
      <c r="J718" s="6"/>
      <c r="O718" s="10"/>
      <c r="P718" s="10"/>
      <c r="Q718" s="10"/>
    </row>
    <row r="719">
      <c r="G719" s="6"/>
      <c r="H719" s="6"/>
      <c r="I719" s="6"/>
      <c r="J719" s="6"/>
      <c r="O719" s="10"/>
      <c r="P719" s="10"/>
      <c r="Q719" s="10"/>
    </row>
    <row r="720">
      <c r="G720" s="6"/>
      <c r="H720" s="6"/>
      <c r="I720" s="6"/>
      <c r="J720" s="6"/>
      <c r="O720" s="10"/>
      <c r="P720" s="10"/>
      <c r="Q720" s="10"/>
    </row>
    <row r="721">
      <c r="G721" s="6"/>
      <c r="H721" s="6"/>
      <c r="I721" s="6"/>
      <c r="J721" s="6"/>
      <c r="O721" s="10"/>
      <c r="P721" s="10"/>
      <c r="Q721" s="10"/>
    </row>
    <row r="722">
      <c r="G722" s="6"/>
      <c r="H722" s="6"/>
      <c r="I722" s="6"/>
      <c r="J722" s="6"/>
      <c r="O722" s="10"/>
      <c r="P722" s="10"/>
      <c r="Q722" s="10"/>
    </row>
    <row r="723">
      <c r="G723" s="6"/>
      <c r="H723" s="6"/>
      <c r="I723" s="6"/>
      <c r="J723" s="6"/>
      <c r="O723" s="10"/>
      <c r="P723" s="10"/>
      <c r="Q723" s="10"/>
    </row>
    <row r="724">
      <c r="G724" s="6"/>
      <c r="H724" s="6"/>
      <c r="I724" s="6"/>
      <c r="J724" s="6"/>
      <c r="O724" s="10"/>
      <c r="P724" s="10"/>
      <c r="Q724" s="10"/>
    </row>
    <row r="725">
      <c r="G725" s="6"/>
      <c r="H725" s="6"/>
      <c r="I725" s="6"/>
      <c r="J725" s="6"/>
      <c r="O725" s="10"/>
      <c r="P725" s="10"/>
      <c r="Q725" s="10"/>
    </row>
    <row r="726">
      <c r="G726" s="6"/>
      <c r="H726" s="6"/>
      <c r="I726" s="6"/>
      <c r="J726" s="6"/>
      <c r="O726" s="10"/>
      <c r="P726" s="10"/>
      <c r="Q726" s="10"/>
    </row>
    <row r="727">
      <c r="G727" s="6"/>
      <c r="H727" s="6"/>
      <c r="I727" s="6"/>
      <c r="J727" s="6"/>
      <c r="O727" s="10"/>
      <c r="P727" s="10"/>
      <c r="Q727" s="10"/>
    </row>
    <row r="728">
      <c r="G728" s="6"/>
      <c r="H728" s="6"/>
      <c r="I728" s="6"/>
      <c r="J728" s="6"/>
      <c r="O728" s="10"/>
      <c r="P728" s="10"/>
      <c r="Q728" s="10"/>
    </row>
    <row r="729">
      <c r="G729" s="6"/>
      <c r="H729" s="6"/>
      <c r="I729" s="6"/>
      <c r="J729" s="6"/>
      <c r="O729" s="10"/>
      <c r="P729" s="10"/>
      <c r="Q729" s="10"/>
    </row>
    <row r="730">
      <c r="G730" s="6"/>
      <c r="H730" s="6"/>
      <c r="I730" s="6"/>
      <c r="J730" s="6"/>
      <c r="O730" s="10"/>
      <c r="P730" s="10"/>
      <c r="Q730" s="10"/>
    </row>
    <row r="731">
      <c r="G731" s="6"/>
      <c r="H731" s="6"/>
      <c r="I731" s="6"/>
      <c r="J731" s="6"/>
      <c r="O731" s="10"/>
      <c r="P731" s="10"/>
      <c r="Q731" s="10"/>
    </row>
    <row r="732">
      <c r="G732" s="6"/>
      <c r="H732" s="6"/>
      <c r="I732" s="6"/>
      <c r="J732" s="6"/>
      <c r="O732" s="10"/>
      <c r="P732" s="10"/>
      <c r="Q732" s="10"/>
    </row>
    <row r="733">
      <c r="G733" s="6"/>
      <c r="H733" s="6"/>
      <c r="I733" s="6"/>
      <c r="J733" s="6"/>
      <c r="O733" s="10"/>
      <c r="P733" s="10"/>
      <c r="Q733" s="10"/>
    </row>
    <row r="734">
      <c r="G734" s="6"/>
      <c r="H734" s="6"/>
      <c r="I734" s="6"/>
      <c r="J734" s="6"/>
      <c r="O734" s="10"/>
      <c r="P734" s="10"/>
      <c r="Q734" s="10"/>
    </row>
    <row r="735">
      <c r="G735" s="6"/>
      <c r="H735" s="6"/>
      <c r="I735" s="6"/>
      <c r="J735" s="6"/>
      <c r="O735" s="10"/>
      <c r="P735" s="10"/>
      <c r="Q735" s="10"/>
    </row>
    <row r="736">
      <c r="G736" s="6"/>
      <c r="H736" s="6"/>
      <c r="I736" s="6"/>
      <c r="J736" s="6"/>
      <c r="O736" s="10"/>
      <c r="P736" s="10"/>
      <c r="Q736" s="10"/>
    </row>
    <row r="737">
      <c r="G737" s="6"/>
      <c r="H737" s="6"/>
      <c r="I737" s="6"/>
      <c r="J737" s="6"/>
      <c r="O737" s="10"/>
      <c r="P737" s="10"/>
      <c r="Q737" s="10"/>
    </row>
    <row r="738">
      <c r="G738" s="6"/>
      <c r="H738" s="6"/>
      <c r="I738" s="6"/>
      <c r="J738" s="6"/>
      <c r="O738" s="10"/>
      <c r="P738" s="10"/>
      <c r="Q738" s="10"/>
    </row>
    <row r="739">
      <c r="G739" s="6"/>
      <c r="H739" s="6"/>
      <c r="I739" s="6"/>
      <c r="J739" s="6"/>
      <c r="O739" s="10"/>
      <c r="P739" s="10"/>
      <c r="Q739" s="10"/>
    </row>
    <row r="740">
      <c r="G740" s="6"/>
      <c r="H740" s="6"/>
      <c r="I740" s="6"/>
      <c r="J740" s="6"/>
      <c r="O740" s="10"/>
      <c r="P740" s="10"/>
      <c r="Q740" s="10"/>
    </row>
    <row r="741">
      <c r="G741" s="6"/>
      <c r="H741" s="6"/>
      <c r="I741" s="6"/>
      <c r="J741" s="6"/>
      <c r="O741" s="10"/>
      <c r="P741" s="10"/>
      <c r="Q741" s="10"/>
    </row>
    <row r="742">
      <c r="G742" s="6"/>
      <c r="H742" s="6"/>
      <c r="I742" s="6"/>
      <c r="J742" s="6"/>
      <c r="O742" s="10"/>
      <c r="P742" s="10"/>
      <c r="Q742" s="10"/>
    </row>
    <row r="743">
      <c r="G743" s="6"/>
      <c r="H743" s="6"/>
      <c r="I743" s="6"/>
      <c r="J743" s="6"/>
      <c r="O743" s="10"/>
      <c r="P743" s="10"/>
      <c r="Q743" s="10"/>
    </row>
    <row r="744">
      <c r="G744" s="6"/>
      <c r="H744" s="6"/>
      <c r="I744" s="6"/>
      <c r="J744" s="6"/>
      <c r="O744" s="10"/>
      <c r="P744" s="10"/>
      <c r="Q744" s="10"/>
    </row>
    <row r="745">
      <c r="G745" s="6"/>
      <c r="H745" s="6"/>
      <c r="I745" s="6"/>
      <c r="J745" s="6"/>
      <c r="O745" s="10"/>
      <c r="P745" s="10"/>
      <c r="Q745" s="10"/>
    </row>
    <row r="746">
      <c r="G746" s="6"/>
      <c r="H746" s="6"/>
      <c r="I746" s="6"/>
      <c r="J746" s="6"/>
      <c r="O746" s="10"/>
      <c r="P746" s="10"/>
      <c r="Q746" s="10"/>
    </row>
    <row r="747">
      <c r="G747" s="6"/>
      <c r="H747" s="6"/>
      <c r="I747" s="6"/>
      <c r="J747" s="6"/>
      <c r="O747" s="10"/>
      <c r="P747" s="10"/>
      <c r="Q747" s="10"/>
    </row>
    <row r="748">
      <c r="G748" s="6"/>
      <c r="H748" s="6"/>
      <c r="I748" s="6"/>
      <c r="J748" s="6"/>
      <c r="O748" s="10"/>
      <c r="P748" s="10"/>
      <c r="Q748" s="10"/>
    </row>
    <row r="749">
      <c r="G749" s="6"/>
      <c r="H749" s="6"/>
      <c r="I749" s="6"/>
      <c r="J749" s="6"/>
      <c r="O749" s="10"/>
      <c r="P749" s="10"/>
      <c r="Q749" s="10"/>
    </row>
    <row r="750">
      <c r="G750" s="6"/>
      <c r="H750" s="6"/>
      <c r="I750" s="6"/>
      <c r="J750" s="6"/>
      <c r="O750" s="10"/>
      <c r="P750" s="10"/>
      <c r="Q750" s="10"/>
    </row>
    <row r="751">
      <c r="G751" s="6"/>
      <c r="H751" s="6"/>
      <c r="I751" s="6"/>
      <c r="J751" s="6"/>
      <c r="O751" s="10"/>
      <c r="P751" s="10"/>
      <c r="Q751" s="10"/>
    </row>
    <row r="752">
      <c r="G752" s="6"/>
      <c r="H752" s="6"/>
      <c r="I752" s="6"/>
      <c r="J752" s="6"/>
      <c r="O752" s="10"/>
      <c r="P752" s="10"/>
      <c r="Q752" s="10"/>
    </row>
    <row r="753">
      <c r="G753" s="6"/>
      <c r="H753" s="6"/>
      <c r="I753" s="6"/>
      <c r="J753" s="6"/>
      <c r="O753" s="10"/>
      <c r="P753" s="10"/>
      <c r="Q753" s="10"/>
    </row>
    <row r="754">
      <c r="G754" s="6"/>
      <c r="H754" s="6"/>
      <c r="I754" s="6"/>
      <c r="J754" s="6"/>
      <c r="O754" s="10"/>
      <c r="P754" s="10"/>
      <c r="Q754" s="10"/>
    </row>
    <row r="755">
      <c r="G755" s="6"/>
      <c r="H755" s="6"/>
      <c r="I755" s="6"/>
      <c r="J755" s="6"/>
      <c r="O755" s="10"/>
      <c r="P755" s="10"/>
      <c r="Q755" s="10"/>
    </row>
    <row r="756">
      <c r="G756" s="6"/>
      <c r="H756" s="6"/>
      <c r="I756" s="6"/>
      <c r="J756" s="6"/>
      <c r="O756" s="10"/>
      <c r="P756" s="10"/>
      <c r="Q756" s="10"/>
    </row>
    <row r="757">
      <c r="G757" s="6"/>
      <c r="H757" s="6"/>
      <c r="I757" s="6"/>
      <c r="J757" s="6"/>
      <c r="O757" s="10"/>
      <c r="P757" s="10"/>
      <c r="Q757" s="10"/>
    </row>
    <row r="758">
      <c r="G758" s="6"/>
      <c r="H758" s="6"/>
      <c r="I758" s="6"/>
      <c r="J758" s="6"/>
      <c r="O758" s="10"/>
      <c r="P758" s="10"/>
      <c r="Q758" s="10"/>
    </row>
    <row r="759">
      <c r="G759" s="6"/>
      <c r="H759" s="6"/>
      <c r="I759" s="6"/>
      <c r="J759" s="6"/>
      <c r="O759" s="10"/>
      <c r="P759" s="10"/>
      <c r="Q759" s="10"/>
    </row>
    <row r="760">
      <c r="G760" s="6"/>
      <c r="H760" s="6"/>
      <c r="I760" s="6"/>
      <c r="J760" s="6"/>
      <c r="O760" s="10"/>
      <c r="P760" s="10"/>
      <c r="Q760" s="10"/>
    </row>
    <row r="761">
      <c r="G761" s="6"/>
      <c r="H761" s="6"/>
      <c r="I761" s="6"/>
      <c r="J761" s="6"/>
      <c r="O761" s="10"/>
      <c r="P761" s="10"/>
      <c r="Q761" s="10"/>
    </row>
    <row r="762">
      <c r="G762" s="6"/>
      <c r="H762" s="6"/>
      <c r="I762" s="6"/>
      <c r="J762" s="6"/>
      <c r="O762" s="10"/>
      <c r="P762" s="10"/>
      <c r="Q762" s="10"/>
    </row>
    <row r="763">
      <c r="G763" s="6"/>
      <c r="H763" s="6"/>
      <c r="I763" s="6"/>
      <c r="J763" s="6"/>
      <c r="O763" s="10"/>
      <c r="P763" s="10"/>
      <c r="Q763" s="10"/>
    </row>
    <row r="764">
      <c r="G764" s="6"/>
      <c r="H764" s="6"/>
      <c r="I764" s="6"/>
      <c r="J764" s="6"/>
      <c r="O764" s="10"/>
      <c r="P764" s="10"/>
      <c r="Q764" s="10"/>
    </row>
    <row r="765">
      <c r="G765" s="6"/>
      <c r="H765" s="6"/>
      <c r="I765" s="6"/>
      <c r="J765" s="6"/>
      <c r="O765" s="10"/>
      <c r="P765" s="10"/>
      <c r="Q765" s="10"/>
    </row>
    <row r="766">
      <c r="G766" s="6"/>
      <c r="H766" s="6"/>
      <c r="I766" s="6"/>
      <c r="J766" s="6"/>
      <c r="O766" s="10"/>
      <c r="P766" s="10"/>
      <c r="Q766" s="10"/>
    </row>
    <row r="767">
      <c r="G767" s="6"/>
      <c r="H767" s="6"/>
      <c r="I767" s="6"/>
      <c r="J767" s="6"/>
      <c r="O767" s="10"/>
      <c r="P767" s="10"/>
      <c r="Q767" s="10"/>
    </row>
    <row r="768">
      <c r="G768" s="6"/>
      <c r="H768" s="6"/>
      <c r="I768" s="6"/>
      <c r="J768" s="6"/>
      <c r="O768" s="10"/>
      <c r="P768" s="10"/>
      <c r="Q768" s="10"/>
    </row>
    <row r="769">
      <c r="G769" s="6"/>
      <c r="H769" s="6"/>
      <c r="I769" s="6"/>
      <c r="J769" s="6"/>
      <c r="O769" s="10"/>
      <c r="P769" s="10"/>
      <c r="Q769" s="10"/>
    </row>
    <row r="770">
      <c r="G770" s="6"/>
      <c r="H770" s="6"/>
      <c r="I770" s="6"/>
      <c r="J770" s="6"/>
      <c r="O770" s="10"/>
      <c r="P770" s="10"/>
      <c r="Q770" s="10"/>
    </row>
    <row r="771">
      <c r="G771" s="6"/>
      <c r="H771" s="6"/>
      <c r="I771" s="6"/>
      <c r="J771" s="6"/>
      <c r="O771" s="10"/>
      <c r="P771" s="10"/>
      <c r="Q771" s="10"/>
    </row>
    <row r="772">
      <c r="G772" s="6"/>
      <c r="H772" s="6"/>
      <c r="I772" s="6"/>
      <c r="J772" s="6"/>
      <c r="O772" s="10"/>
      <c r="P772" s="10"/>
      <c r="Q772" s="10"/>
    </row>
    <row r="773">
      <c r="G773" s="6"/>
      <c r="H773" s="6"/>
      <c r="I773" s="6"/>
      <c r="J773" s="6"/>
      <c r="O773" s="10"/>
      <c r="P773" s="10"/>
      <c r="Q773" s="10"/>
    </row>
    <row r="774">
      <c r="G774" s="6"/>
      <c r="H774" s="6"/>
      <c r="I774" s="6"/>
      <c r="J774" s="6"/>
      <c r="O774" s="10"/>
      <c r="P774" s="10"/>
      <c r="Q774" s="10"/>
    </row>
    <row r="775">
      <c r="G775" s="6"/>
      <c r="H775" s="6"/>
      <c r="I775" s="6"/>
      <c r="J775" s="6"/>
      <c r="O775" s="10"/>
      <c r="P775" s="10"/>
      <c r="Q775" s="10"/>
    </row>
    <row r="776">
      <c r="G776" s="6"/>
      <c r="H776" s="6"/>
      <c r="I776" s="6"/>
      <c r="J776" s="6"/>
      <c r="O776" s="10"/>
      <c r="P776" s="10"/>
      <c r="Q776" s="10"/>
    </row>
    <row r="777">
      <c r="G777" s="6"/>
      <c r="H777" s="6"/>
      <c r="I777" s="6"/>
      <c r="J777" s="6"/>
      <c r="O777" s="10"/>
      <c r="P777" s="10"/>
      <c r="Q777" s="10"/>
    </row>
    <row r="778">
      <c r="G778" s="6"/>
      <c r="H778" s="6"/>
      <c r="I778" s="6"/>
      <c r="J778" s="6"/>
      <c r="O778" s="10"/>
      <c r="P778" s="10"/>
      <c r="Q778" s="10"/>
    </row>
    <row r="779">
      <c r="G779" s="6"/>
      <c r="H779" s="6"/>
      <c r="I779" s="6"/>
      <c r="J779" s="6"/>
      <c r="O779" s="10"/>
      <c r="P779" s="10"/>
      <c r="Q779" s="10"/>
    </row>
    <row r="780">
      <c r="G780" s="6"/>
      <c r="H780" s="6"/>
      <c r="I780" s="6"/>
      <c r="J780" s="6"/>
      <c r="O780" s="10"/>
      <c r="P780" s="10"/>
      <c r="Q780" s="10"/>
    </row>
    <row r="781">
      <c r="G781" s="6"/>
      <c r="H781" s="6"/>
      <c r="I781" s="6"/>
      <c r="J781" s="6"/>
      <c r="O781" s="10"/>
      <c r="P781" s="10"/>
      <c r="Q781" s="10"/>
    </row>
    <row r="782">
      <c r="G782" s="6"/>
      <c r="H782" s="6"/>
      <c r="I782" s="6"/>
      <c r="J782" s="6"/>
      <c r="O782" s="10"/>
      <c r="P782" s="10"/>
      <c r="Q782" s="10"/>
    </row>
    <row r="783">
      <c r="G783" s="6"/>
      <c r="H783" s="6"/>
      <c r="I783" s="6"/>
      <c r="J783" s="6"/>
      <c r="O783" s="10"/>
      <c r="P783" s="10"/>
      <c r="Q783" s="10"/>
    </row>
    <row r="784">
      <c r="G784" s="6"/>
      <c r="H784" s="6"/>
      <c r="I784" s="6"/>
      <c r="J784" s="6"/>
      <c r="O784" s="10"/>
      <c r="P784" s="10"/>
      <c r="Q784" s="10"/>
    </row>
    <row r="785">
      <c r="G785" s="6"/>
      <c r="H785" s="6"/>
      <c r="I785" s="6"/>
      <c r="J785" s="6"/>
      <c r="O785" s="10"/>
      <c r="P785" s="10"/>
      <c r="Q785" s="10"/>
    </row>
    <row r="786">
      <c r="G786" s="6"/>
      <c r="H786" s="6"/>
      <c r="I786" s="6"/>
      <c r="J786" s="6"/>
      <c r="O786" s="10"/>
      <c r="P786" s="10"/>
      <c r="Q786" s="10"/>
    </row>
    <row r="787">
      <c r="G787" s="6"/>
      <c r="H787" s="6"/>
      <c r="I787" s="6"/>
      <c r="J787" s="6"/>
      <c r="O787" s="10"/>
      <c r="P787" s="10"/>
      <c r="Q787" s="10"/>
    </row>
    <row r="788">
      <c r="G788" s="6"/>
      <c r="H788" s="6"/>
      <c r="I788" s="6"/>
      <c r="J788" s="6"/>
      <c r="O788" s="10"/>
      <c r="P788" s="10"/>
      <c r="Q788" s="10"/>
    </row>
    <row r="789">
      <c r="G789" s="6"/>
      <c r="H789" s="6"/>
      <c r="I789" s="6"/>
      <c r="J789" s="6"/>
      <c r="O789" s="10"/>
      <c r="P789" s="10"/>
      <c r="Q789" s="10"/>
    </row>
    <row r="790">
      <c r="G790" s="6"/>
      <c r="H790" s="6"/>
      <c r="I790" s="6"/>
      <c r="J790" s="6"/>
      <c r="O790" s="10"/>
      <c r="P790" s="10"/>
      <c r="Q790" s="10"/>
    </row>
    <row r="791">
      <c r="G791" s="6"/>
      <c r="H791" s="6"/>
      <c r="I791" s="6"/>
      <c r="J791" s="6"/>
      <c r="O791" s="10"/>
      <c r="P791" s="10"/>
      <c r="Q791" s="10"/>
    </row>
    <row r="792">
      <c r="G792" s="6"/>
      <c r="H792" s="6"/>
      <c r="I792" s="6"/>
      <c r="J792" s="6"/>
      <c r="O792" s="10"/>
      <c r="P792" s="10"/>
      <c r="Q792" s="10"/>
    </row>
    <row r="793">
      <c r="G793" s="6"/>
      <c r="H793" s="6"/>
      <c r="I793" s="6"/>
      <c r="J793" s="6"/>
      <c r="O793" s="10"/>
      <c r="P793" s="10"/>
      <c r="Q793" s="10"/>
    </row>
    <row r="794">
      <c r="G794" s="6"/>
      <c r="H794" s="6"/>
      <c r="I794" s="6"/>
      <c r="J794" s="6"/>
      <c r="O794" s="10"/>
      <c r="P794" s="10"/>
      <c r="Q794" s="10"/>
    </row>
    <row r="795">
      <c r="G795" s="6"/>
      <c r="H795" s="6"/>
      <c r="I795" s="6"/>
      <c r="J795" s="6"/>
      <c r="O795" s="10"/>
      <c r="P795" s="10"/>
      <c r="Q795" s="10"/>
    </row>
    <row r="796">
      <c r="G796" s="6"/>
      <c r="H796" s="6"/>
      <c r="I796" s="6"/>
      <c r="J796" s="6"/>
      <c r="O796" s="10"/>
      <c r="P796" s="10"/>
      <c r="Q796" s="10"/>
    </row>
    <row r="797">
      <c r="G797" s="6"/>
      <c r="H797" s="6"/>
      <c r="I797" s="6"/>
      <c r="J797" s="6"/>
      <c r="O797" s="10"/>
      <c r="P797" s="10"/>
      <c r="Q797" s="10"/>
    </row>
    <row r="798">
      <c r="G798" s="6"/>
      <c r="H798" s="6"/>
      <c r="I798" s="6"/>
      <c r="J798" s="6"/>
      <c r="O798" s="10"/>
      <c r="P798" s="10"/>
      <c r="Q798" s="10"/>
    </row>
    <row r="799">
      <c r="G799" s="6"/>
      <c r="H799" s="6"/>
      <c r="I799" s="6"/>
      <c r="J799" s="6"/>
      <c r="O799" s="10"/>
      <c r="P799" s="10"/>
      <c r="Q799" s="10"/>
    </row>
    <row r="800">
      <c r="G800" s="6"/>
      <c r="H800" s="6"/>
      <c r="I800" s="6"/>
      <c r="J800" s="6"/>
      <c r="O800" s="10"/>
      <c r="P800" s="10"/>
      <c r="Q800" s="10"/>
    </row>
    <row r="801">
      <c r="G801" s="6"/>
      <c r="H801" s="6"/>
      <c r="I801" s="6"/>
      <c r="J801" s="6"/>
      <c r="O801" s="10"/>
      <c r="P801" s="10"/>
      <c r="Q801" s="10"/>
    </row>
    <row r="802">
      <c r="G802" s="6"/>
      <c r="H802" s="6"/>
      <c r="I802" s="6"/>
      <c r="J802" s="6"/>
      <c r="O802" s="10"/>
      <c r="P802" s="10"/>
      <c r="Q802" s="10"/>
    </row>
    <row r="803">
      <c r="G803" s="6"/>
      <c r="H803" s="6"/>
      <c r="I803" s="6"/>
      <c r="J803" s="6"/>
      <c r="O803" s="10"/>
      <c r="P803" s="10"/>
      <c r="Q803" s="10"/>
    </row>
    <row r="804">
      <c r="G804" s="6"/>
      <c r="H804" s="6"/>
      <c r="I804" s="6"/>
      <c r="J804" s="6"/>
      <c r="O804" s="10"/>
      <c r="P804" s="10"/>
      <c r="Q804" s="10"/>
    </row>
    <row r="805">
      <c r="G805" s="6"/>
      <c r="H805" s="6"/>
      <c r="I805" s="6"/>
      <c r="J805" s="6"/>
      <c r="O805" s="10"/>
      <c r="P805" s="10"/>
      <c r="Q805" s="10"/>
    </row>
    <row r="806">
      <c r="G806" s="6"/>
      <c r="H806" s="6"/>
      <c r="I806" s="6"/>
      <c r="J806" s="6"/>
      <c r="O806" s="10"/>
      <c r="P806" s="10"/>
      <c r="Q806" s="10"/>
    </row>
    <row r="807">
      <c r="G807" s="6"/>
      <c r="H807" s="6"/>
      <c r="I807" s="6"/>
      <c r="J807" s="6"/>
      <c r="O807" s="10"/>
      <c r="P807" s="10"/>
      <c r="Q807" s="10"/>
    </row>
    <row r="808">
      <c r="G808" s="6"/>
      <c r="H808" s="6"/>
      <c r="I808" s="6"/>
      <c r="J808" s="6"/>
      <c r="O808" s="10"/>
      <c r="P808" s="10"/>
      <c r="Q808" s="10"/>
    </row>
    <row r="809">
      <c r="G809" s="6"/>
      <c r="H809" s="6"/>
      <c r="I809" s="6"/>
      <c r="J809" s="6"/>
      <c r="O809" s="10"/>
      <c r="P809" s="10"/>
      <c r="Q809" s="10"/>
    </row>
    <row r="810">
      <c r="G810" s="6"/>
      <c r="H810" s="6"/>
      <c r="I810" s="6"/>
      <c r="J810" s="6"/>
      <c r="O810" s="10"/>
      <c r="P810" s="10"/>
      <c r="Q810" s="10"/>
    </row>
    <row r="811">
      <c r="G811" s="6"/>
      <c r="H811" s="6"/>
      <c r="I811" s="6"/>
      <c r="J811" s="6"/>
      <c r="O811" s="10"/>
      <c r="P811" s="10"/>
      <c r="Q811" s="10"/>
    </row>
    <row r="812">
      <c r="G812" s="6"/>
      <c r="H812" s="6"/>
      <c r="I812" s="6"/>
      <c r="J812" s="6"/>
      <c r="O812" s="10"/>
      <c r="P812" s="10"/>
      <c r="Q812" s="10"/>
    </row>
    <row r="813">
      <c r="G813" s="6"/>
      <c r="H813" s="6"/>
      <c r="I813" s="6"/>
      <c r="J813" s="6"/>
      <c r="O813" s="10"/>
      <c r="P813" s="10"/>
      <c r="Q813" s="10"/>
    </row>
    <row r="814">
      <c r="G814" s="6"/>
      <c r="H814" s="6"/>
      <c r="I814" s="6"/>
      <c r="J814" s="6"/>
      <c r="O814" s="10"/>
      <c r="P814" s="10"/>
      <c r="Q814" s="10"/>
    </row>
    <row r="815">
      <c r="G815" s="6"/>
      <c r="H815" s="6"/>
      <c r="I815" s="6"/>
      <c r="J815" s="6"/>
      <c r="O815" s="10"/>
      <c r="P815" s="10"/>
      <c r="Q815" s="10"/>
    </row>
    <row r="816">
      <c r="G816" s="6"/>
      <c r="H816" s="6"/>
      <c r="I816" s="6"/>
      <c r="J816" s="6"/>
      <c r="O816" s="10"/>
      <c r="P816" s="10"/>
      <c r="Q816" s="10"/>
    </row>
    <row r="817">
      <c r="G817" s="6"/>
      <c r="H817" s="6"/>
      <c r="I817" s="6"/>
      <c r="J817" s="6"/>
      <c r="O817" s="10"/>
      <c r="P817" s="10"/>
      <c r="Q817" s="10"/>
    </row>
    <row r="818">
      <c r="G818" s="6"/>
      <c r="H818" s="6"/>
      <c r="I818" s="6"/>
      <c r="J818" s="6"/>
      <c r="O818" s="10"/>
      <c r="P818" s="10"/>
      <c r="Q818" s="10"/>
    </row>
    <row r="819">
      <c r="G819" s="6"/>
      <c r="H819" s="6"/>
      <c r="I819" s="6"/>
      <c r="J819" s="6"/>
      <c r="O819" s="10"/>
      <c r="P819" s="10"/>
      <c r="Q819" s="10"/>
    </row>
    <row r="820">
      <c r="G820" s="6"/>
      <c r="H820" s="6"/>
      <c r="I820" s="6"/>
      <c r="J820" s="6"/>
      <c r="O820" s="10"/>
      <c r="P820" s="10"/>
      <c r="Q820" s="10"/>
    </row>
    <row r="821">
      <c r="G821" s="6"/>
      <c r="H821" s="6"/>
      <c r="I821" s="6"/>
      <c r="J821" s="6"/>
      <c r="O821" s="10"/>
      <c r="P821" s="10"/>
      <c r="Q821" s="10"/>
    </row>
    <row r="822">
      <c r="G822" s="6"/>
      <c r="H822" s="6"/>
      <c r="I822" s="6"/>
      <c r="J822" s="6"/>
      <c r="O822" s="10"/>
      <c r="P822" s="10"/>
      <c r="Q822" s="10"/>
    </row>
    <row r="823">
      <c r="G823" s="6"/>
      <c r="H823" s="6"/>
      <c r="I823" s="6"/>
      <c r="J823" s="6"/>
      <c r="O823" s="10"/>
      <c r="P823" s="10"/>
      <c r="Q823" s="10"/>
    </row>
    <row r="824">
      <c r="G824" s="6"/>
      <c r="H824" s="6"/>
      <c r="I824" s="6"/>
      <c r="J824" s="6"/>
      <c r="O824" s="10"/>
      <c r="P824" s="10"/>
      <c r="Q824" s="10"/>
    </row>
    <row r="825">
      <c r="G825" s="6"/>
      <c r="H825" s="6"/>
      <c r="I825" s="6"/>
      <c r="J825" s="6"/>
      <c r="O825" s="10"/>
      <c r="P825" s="10"/>
      <c r="Q825" s="10"/>
    </row>
    <row r="826">
      <c r="G826" s="6"/>
      <c r="H826" s="6"/>
      <c r="I826" s="6"/>
      <c r="J826" s="6"/>
      <c r="O826" s="10"/>
      <c r="P826" s="10"/>
      <c r="Q826" s="10"/>
    </row>
    <row r="827">
      <c r="G827" s="6"/>
      <c r="H827" s="6"/>
      <c r="I827" s="6"/>
      <c r="J827" s="6"/>
      <c r="O827" s="10"/>
      <c r="P827" s="10"/>
      <c r="Q827" s="10"/>
    </row>
    <row r="828">
      <c r="G828" s="6"/>
      <c r="H828" s="6"/>
      <c r="I828" s="6"/>
      <c r="J828" s="6"/>
      <c r="O828" s="10"/>
      <c r="P828" s="10"/>
      <c r="Q828" s="10"/>
    </row>
    <row r="829">
      <c r="G829" s="6"/>
      <c r="H829" s="6"/>
      <c r="I829" s="6"/>
      <c r="J829" s="6"/>
      <c r="O829" s="10"/>
      <c r="P829" s="10"/>
      <c r="Q829" s="10"/>
    </row>
    <row r="830">
      <c r="G830" s="6"/>
      <c r="H830" s="6"/>
      <c r="I830" s="6"/>
      <c r="J830" s="6"/>
      <c r="O830" s="10"/>
      <c r="P830" s="10"/>
      <c r="Q830" s="10"/>
    </row>
    <row r="831">
      <c r="G831" s="6"/>
      <c r="H831" s="6"/>
      <c r="I831" s="6"/>
      <c r="J831" s="6"/>
      <c r="O831" s="10"/>
      <c r="P831" s="10"/>
      <c r="Q831" s="10"/>
    </row>
    <row r="832">
      <c r="G832" s="6"/>
      <c r="H832" s="6"/>
      <c r="I832" s="6"/>
      <c r="J832" s="6"/>
      <c r="O832" s="10"/>
      <c r="P832" s="10"/>
      <c r="Q832" s="10"/>
    </row>
    <row r="833">
      <c r="G833" s="6"/>
      <c r="H833" s="6"/>
      <c r="I833" s="6"/>
      <c r="J833" s="6"/>
      <c r="O833" s="10"/>
      <c r="P833" s="10"/>
      <c r="Q833" s="10"/>
    </row>
    <row r="834">
      <c r="G834" s="6"/>
      <c r="H834" s="6"/>
      <c r="I834" s="6"/>
      <c r="J834" s="6"/>
      <c r="O834" s="10"/>
      <c r="P834" s="10"/>
      <c r="Q834" s="10"/>
    </row>
    <row r="835">
      <c r="G835" s="6"/>
      <c r="H835" s="6"/>
      <c r="I835" s="6"/>
      <c r="J835" s="6"/>
      <c r="O835" s="10"/>
      <c r="P835" s="10"/>
      <c r="Q835" s="10"/>
    </row>
    <row r="836">
      <c r="G836" s="6"/>
      <c r="H836" s="6"/>
      <c r="I836" s="6"/>
      <c r="J836" s="6"/>
      <c r="O836" s="10"/>
      <c r="P836" s="10"/>
      <c r="Q836" s="10"/>
    </row>
    <row r="837">
      <c r="G837" s="6"/>
      <c r="H837" s="6"/>
      <c r="I837" s="6"/>
      <c r="J837" s="6"/>
      <c r="O837" s="10"/>
      <c r="P837" s="10"/>
      <c r="Q837" s="10"/>
    </row>
    <row r="838">
      <c r="G838" s="6"/>
      <c r="H838" s="6"/>
      <c r="I838" s="6"/>
      <c r="J838" s="6"/>
      <c r="O838" s="10"/>
      <c r="P838" s="10"/>
      <c r="Q838" s="10"/>
    </row>
    <row r="839">
      <c r="G839" s="6"/>
      <c r="H839" s="6"/>
      <c r="I839" s="6"/>
      <c r="J839" s="6"/>
      <c r="O839" s="10"/>
      <c r="P839" s="10"/>
      <c r="Q839" s="10"/>
    </row>
    <row r="840">
      <c r="G840" s="6"/>
      <c r="H840" s="6"/>
      <c r="I840" s="6"/>
      <c r="J840" s="6"/>
      <c r="O840" s="10"/>
      <c r="P840" s="10"/>
      <c r="Q840" s="10"/>
    </row>
    <row r="841">
      <c r="G841" s="6"/>
      <c r="H841" s="6"/>
      <c r="I841" s="6"/>
      <c r="J841" s="6"/>
      <c r="O841" s="10"/>
      <c r="P841" s="10"/>
      <c r="Q841" s="10"/>
    </row>
    <row r="842">
      <c r="G842" s="6"/>
      <c r="H842" s="6"/>
      <c r="I842" s="6"/>
      <c r="J842" s="6"/>
      <c r="O842" s="10"/>
      <c r="P842" s="10"/>
      <c r="Q842" s="10"/>
    </row>
    <row r="843">
      <c r="G843" s="6"/>
      <c r="H843" s="6"/>
      <c r="I843" s="6"/>
      <c r="J843" s="6"/>
      <c r="O843" s="10"/>
      <c r="P843" s="10"/>
      <c r="Q843" s="10"/>
    </row>
    <row r="844">
      <c r="G844" s="6"/>
      <c r="H844" s="6"/>
      <c r="I844" s="6"/>
      <c r="J844" s="6"/>
      <c r="O844" s="10"/>
      <c r="P844" s="10"/>
      <c r="Q844" s="10"/>
    </row>
    <row r="845">
      <c r="G845" s="6"/>
      <c r="H845" s="6"/>
      <c r="I845" s="6"/>
      <c r="J845" s="6"/>
      <c r="O845" s="10"/>
      <c r="P845" s="10"/>
      <c r="Q845" s="10"/>
    </row>
    <row r="846">
      <c r="G846" s="6"/>
      <c r="H846" s="6"/>
      <c r="I846" s="6"/>
      <c r="J846" s="6"/>
      <c r="O846" s="10"/>
      <c r="P846" s="10"/>
      <c r="Q846" s="10"/>
    </row>
    <row r="847">
      <c r="G847" s="6"/>
      <c r="H847" s="6"/>
      <c r="I847" s="6"/>
      <c r="J847" s="6"/>
      <c r="O847" s="10"/>
      <c r="P847" s="10"/>
      <c r="Q847" s="10"/>
    </row>
    <row r="848">
      <c r="G848" s="6"/>
      <c r="H848" s="6"/>
      <c r="I848" s="6"/>
      <c r="J848" s="6"/>
      <c r="O848" s="10"/>
      <c r="P848" s="10"/>
      <c r="Q848" s="10"/>
    </row>
    <row r="849">
      <c r="G849" s="6"/>
      <c r="H849" s="6"/>
      <c r="I849" s="6"/>
      <c r="J849" s="6"/>
      <c r="O849" s="10"/>
      <c r="P849" s="10"/>
      <c r="Q849" s="10"/>
    </row>
    <row r="850">
      <c r="G850" s="6"/>
      <c r="H850" s="6"/>
      <c r="I850" s="6"/>
      <c r="J850" s="6"/>
      <c r="O850" s="10"/>
      <c r="P850" s="10"/>
      <c r="Q850" s="10"/>
    </row>
    <row r="851">
      <c r="G851" s="6"/>
      <c r="H851" s="6"/>
      <c r="I851" s="6"/>
      <c r="J851" s="6"/>
      <c r="O851" s="10"/>
      <c r="P851" s="10"/>
      <c r="Q851" s="10"/>
    </row>
    <row r="852">
      <c r="G852" s="6"/>
      <c r="H852" s="6"/>
      <c r="I852" s="6"/>
      <c r="J852" s="6"/>
      <c r="O852" s="10"/>
      <c r="P852" s="10"/>
      <c r="Q852" s="10"/>
    </row>
    <row r="853">
      <c r="G853" s="6"/>
      <c r="H853" s="6"/>
      <c r="I853" s="6"/>
      <c r="J853" s="6"/>
      <c r="O853" s="10"/>
      <c r="P853" s="10"/>
      <c r="Q853" s="10"/>
    </row>
    <row r="854">
      <c r="G854" s="6"/>
      <c r="H854" s="6"/>
      <c r="I854" s="6"/>
      <c r="J854" s="6"/>
      <c r="O854" s="10"/>
      <c r="P854" s="10"/>
      <c r="Q854" s="10"/>
    </row>
    <row r="855">
      <c r="G855" s="6"/>
      <c r="H855" s="6"/>
      <c r="I855" s="6"/>
      <c r="J855" s="6"/>
      <c r="O855" s="10"/>
      <c r="P855" s="10"/>
      <c r="Q855" s="10"/>
    </row>
    <row r="856">
      <c r="G856" s="6"/>
      <c r="H856" s="6"/>
      <c r="I856" s="6"/>
      <c r="J856" s="6"/>
      <c r="O856" s="10"/>
      <c r="P856" s="10"/>
      <c r="Q856" s="10"/>
    </row>
    <row r="857">
      <c r="G857" s="6"/>
      <c r="H857" s="6"/>
      <c r="I857" s="6"/>
      <c r="J857" s="6"/>
      <c r="O857" s="10"/>
      <c r="P857" s="10"/>
      <c r="Q857" s="10"/>
    </row>
    <row r="858">
      <c r="G858" s="6"/>
      <c r="H858" s="6"/>
      <c r="I858" s="6"/>
      <c r="J858" s="6"/>
      <c r="O858" s="10"/>
      <c r="P858" s="10"/>
      <c r="Q858" s="10"/>
    </row>
    <row r="859">
      <c r="G859" s="6"/>
      <c r="H859" s="6"/>
      <c r="I859" s="6"/>
      <c r="J859" s="6"/>
      <c r="O859" s="10"/>
      <c r="P859" s="10"/>
      <c r="Q859" s="10"/>
    </row>
    <row r="860">
      <c r="G860" s="6"/>
      <c r="H860" s="6"/>
      <c r="I860" s="6"/>
      <c r="J860" s="6"/>
      <c r="O860" s="10"/>
      <c r="P860" s="10"/>
      <c r="Q860" s="10"/>
    </row>
    <row r="861">
      <c r="G861" s="6"/>
      <c r="H861" s="6"/>
      <c r="I861" s="6"/>
      <c r="J861" s="6"/>
      <c r="O861" s="10"/>
      <c r="P861" s="10"/>
      <c r="Q861" s="10"/>
    </row>
    <row r="862">
      <c r="G862" s="6"/>
      <c r="H862" s="6"/>
      <c r="I862" s="6"/>
      <c r="J862" s="6"/>
      <c r="O862" s="10"/>
      <c r="P862" s="10"/>
      <c r="Q862" s="10"/>
    </row>
    <row r="863">
      <c r="G863" s="6"/>
      <c r="H863" s="6"/>
      <c r="I863" s="6"/>
      <c r="J863" s="6"/>
      <c r="O863" s="10"/>
      <c r="P863" s="10"/>
      <c r="Q863" s="10"/>
    </row>
    <row r="864">
      <c r="G864" s="6"/>
      <c r="H864" s="6"/>
      <c r="I864" s="6"/>
      <c r="J864" s="6"/>
      <c r="O864" s="10"/>
      <c r="P864" s="10"/>
      <c r="Q864" s="10"/>
    </row>
    <row r="865">
      <c r="G865" s="6"/>
      <c r="H865" s="6"/>
      <c r="I865" s="6"/>
      <c r="J865" s="6"/>
      <c r="O865" s="10"/>
      <c r="P865" s="10"/>
      <c r="Q865" s="10"/>
    </row>
    <row r="866">
      <c r="G866" s="6"/>
      <c r="H866" s="6"/>
      <c r="I866" s="6"/>
      <c r="J866" s="6"/>
      <c r="O866" s="10"/>
      <c r="P866" s="10"/>
      <c r="Q866" s="10"/>
    </row>
    <row r="867">
      <c r="G867" s="6"/>
      <c r="H867" s="6"/>
      <c r="I867" s="6"/>
      <c r="J867" s="6"/>
      <c r="O867" s="10"/>
      <c r="P867" s="10"/>
      <c r="Q867" s="10"/>
    </row>
    <row r="868">
      <c r="G868" s="6"/>
      <c r="H868" s="6"/>
      <c r="I868" s="6"/>
      <c r="J868" s="6"/>
      <c r="O868" s="10"/>
      <c r="P868" s="10"/>
      <c r="Q868" s="10"/>
    </row>
    <row r="869">
      <c r="G869" s="6"/>
      <c r="H869" s="6"/>
      <c r="I869" s="6"/>
      <c r="J869" s="6"/>
      <c r="O869" s="10"/>
      <c r="P869" s="10"/>
      <c r="Q869" s="10"/>
    </row>
    <row r="870">
      <c r="G870" s="6"/>
      <c r="H870" s="6"/>
      <c r="I870" s="6"/>
      <c r="J870" s="6"/>
      <c r="O870" s="10"/>
      <c r="P870" s="10"/>
      <c r="Q870" s="10"/>
    </row>
    <row r="871">
      <c r="G871" s="6"/>
      <c r="H871" s="6"/>
      <c r="I871" s="6"/>
      <c r="J871" s="6"/>
      <c r="O871" s="10"/>
      <c r="P871" s="10"/>
      <c r="Q871" s="10"/>
    </row>
    <row r="872">
      <c r="G872" s="6"/>
      <c r="H872" s="6"/>
      <c r="I872" s="6"/>
      <c r="J872" s="6"/>
      <c r="O872" s="10"/>
      <c r="P872" s="10"/>
      <c r="Q872" s="10"/>
    </row>
    <row r="873">
      <c r="G873" s="6"/>
      <c r="H873" s="6"/>
      <c r="I873" s="6"/>
      <c r="J873" s="6"/>
      <c r="O873" s="10"/>
      <c r="P873" s="10"/>
      <c r="Q873" s="10"/>
    </row>
    <row r="874">
      <c r="G874" s="6"/>
      <c r="H874" s="6"/>
      <c r="I874" s="6"/>
      <c r="J874" s="6"/>
      <c r="O874" s="10"/>
      <c r="P874" s="10"/>
      <c r="Q874" s="10"/>
    </row>
    <row r="875">
      <c r="G875" s="6"/>
      <c r="H875" s="6"/>
      <c r="I875" s="6"/>
      <c r="J875" s="6"/>
      <c r="O875" s="10"/>
      <c r="P875" s="10"/>
      <c r="Q875" s="10"/>
    </row>
    <row r="876">
      <c r="G876" s="6"/>
      <c r="H876" s="6"/>
      <c r="I876" s="6"/>
      <c r="J876" s="6"/>
      <c r="O876" s="10"/>
      <c r="P876" s="10"/>
      <c r="Q876" s="10"/>
    </row>
    <row r="877">
      <c r="G877" s="6"/>
      <c r="H877" s="6"/>
      <c r="I877" s="6"/>
      <c r="J877" s="6"/>
      <c r="O877" s="10"/>
      <c r="P877" s="10"/>
      <c r="Q877" s="10"/>
    </row>
    <row r="878">
      <c r="G878" s="6"/>
      <c r="H878" s="6"/>
      <c r="I878" s="6"/>
      <c r="J878" s="6"/>
      <c r="O878" s="10"/>
      <c r="P878" s="10"/>
      <c r="Q878" s="10"/>
    </row>
    <row r="879">
      <c r="G879" s="6"/>
      <c r="H879" s="6"/>
      <c r="I879" s="6"/>
      <c r="J879" s="6"/>
      <c r="O879" s="10"/>
      <c r="P879" s="10"/>
      <c r="Q879" s="10"/>
    </row>
    <row r="880">
      <c r="G880" s="6"/>
      <c r="H880" s="6"/>
      <c r="I880" s="6"/>
      <c r="J880" s="6"/>
      <c r="O880" s="10"/>
      <c r="P880" s="10"/>
      <c r="Q880" s="10"/>
    </row>
    <row r="881">
      <c r="G881" s="6"/>
      <c r="H881" s="6"/>
      <c r="I881" s="6"/>
      <c r="J881" s="6"/>
      <c r="O881" s="10"/>
      <c r="P881" s="10"/>
      <c r="Q881" s="10"/>
    </row>
    <row r="882">
      <c r="G882" s="6"/>
      <c r="H882" s="6"/>
      <c r="I882" s="6"/>
      <c r="J882" s="6"/>
      <c r="O882" s="10"/>
      <c r="P882" s="10"/>
      <c r="Q882" s="10"/>
    </row>
    <row r="883">
      <c r="G883" s="6"/>
      <c r="H883" s="6"/>
      <c r="I883" s="6"/>
      <c r="J883" s="6"/>
      <c r="O883" s="10"/>
      <c r="P883" s="10"/>
      <c r="Q883" s="10"/>
    </row>
    <row r="884">
      <c r="G884" s="6"/>
      <c r="H884" s="6"/>
      <c r="I884" s="6"/>
      <c r="J884" s="6"/>
      <c r="O884" s="10"/>
      <c r="P884" s="10"/>
      <c r="Q884" s="10"/>
    </row>
    <row r="885">
      <c r="G885" s="6"/>
      <c r="H885" s="6"/>
      <c r="I885" s="6"/>
      <c r="J885" s="6"/>
      <c r="O885" s="10"/>
      <c r="P885" s="10"/>
      <c r="Q885" s="10"/>
    </row>
    <row r="886">
      <c r="G886" s="6"/>
      <c r="H886" s="6"/>
      <c r="I886" s="6"/>
      <c r="J886" s="6"/>
      <c r="O886" s="10"/>
      <c r="P886" s="10"/>
      <c r="Q886" s="10"/>
    </row>
    <row r="887">
      <c r="G887" s="6"/>
      <c r="H887" s="6"/>
      <c r="I887" s="6"/>
      <c r="J887" s="6"/>
      <c r="O887" s="10"/>
      <c r="P887" s="10"/>
      <c r="Q887" s="10"/>
    </row>
    <row r="888">
      <c r="G888" s="6"/>
      <c r="H888" s="6"/>
      <c r="I888" s="6"/>
      <c r="J888" s="6"/>
      <c r="O888" s="10"/>
      <c r="P888" s="10"/>
      <c r="Q888" s="10"/>
    </row>
    <row r="889">
      <c r="G889" s="6"/>
      <c r="H889" s="6"/>
      <c r="I889" s="6"/>
      <c r="J889" s="6"/>
      <c r="O889" s="10"/>
      <c r="P889" s="10"/>
      <c r="Q889" s="10"/>
    </row>
    <row r="890">
      <c r="G890" s="6"/>
      <c r="H890" s="6"/>
      <c r="I890" s="6"/>
      <c r="J890" s="6"/>
      <c r="O890" s="10"/>
      <c r="P890" s="10"/>
      <c r="Q890" s="10"/>
    </row>
    <row r="891">
      <c r="G891" s="6"/>
      <c r="H891" s="6"/>
      <c r="I891" s="6"/>
      <c r="J891" s="6"/>
      <c r="O891" s="10"/>
      <c r="P891" s="10"/>
      <c r="Q891" s="10"/>
    </row>
    <row r="892">
      <c r="G892" s="6"/>
      <c r="H892" s="6"/>
      <c r="I892" s="6"/>
      <c r="J892" s="6"/>
      <c r="O892" s="10"/>
      <c r="P892" s="10"/>
      <c r="Q892" s="10"/>
    </row>
    <row r="893">
      <c r="G893" s="6"/>
      <c r="H893" s="6"/>
      <c r="I893" s="6"/>
      <c r="J893" s="6"/>
      <c r="O893" s="10"/>
      <c r="P893" s="10"/>
      <c r="Q893" s="10"/>
    </row>
    <row r="894">
      <c r="G894" s="6"/>
      <c r="H894" s="6"/>
      <c r="I894" s="6"/>
      <c r="J894" s="6"/>
      <c r="O894" s="10"/>
      <c r="P894" s="10"/>
      <c r="Q894" s="10"/>
    </row>
    <row r="895">
      <c r="G895" s="6"/>
      <c r="H895" s="6"/>
      <c r="I895" s="6"/>
      <c r="J895" s="6"/>
      <c r="O895" s="10"/>
      <c r="P895" s="10"/>
      <c r="Q895" s="10"/>
    </row>
    <row r="896">
      <c r="G896" s="6"/>
      <c r="H896" s="6"/>
      <c r="I896" s="6"/>
      <c r="J896" s="6"/>
      <c r="O896" s="10"/>
      <c r="P896" s="10"/>
      <c r="Q896" s="10"/>
    </row>
    <row r="897">
      <c r="G897" s="6"/>
      <c r="H897" s="6"/>
      <c r="I897" s="6"/>
      <c r="J897" s="6"/>
      <c r="O897" s="10"/>
      <c r="P897" s="10"/>
      <c r="Q897" s="10"/>
    </row>
    <row r="898">
      <c r="G898" s="6"/>
      <c r="H898" s="6"/>
      <c r="I898" s="6"/>
      <c r="J898" s="6"/>
      <c r="O898" s="10"/>
      <c r="P898" s="10"/>
      <c r="Q898" s="10"/>
    </row>
    <row r="899">
      <c r="G899" s="6"/>
      <c r="H899" s="6"/>
      <c r="I899" s="6"/>
      <c r="J899" s="6"/>
      <c r="O899" s="10"/>
      <c r="P899" s="10"/>
      <c r="Q899" s="10"/>
    </row>
    <row r="900">
      <c r="G900" s="6"/>
      <c r="H900" s="6"/>
      <c r="I900" s="6"/>
      <c r="J900" s="6"/>
      <c r="O900" s="10"/>
      <c r="P900" s="10"/>
      <c r="Q900" s="10"/>
    </row>
    <row r="901">
      <c r="G901" s="6"/>
      <c r="H901" s="6"/>
      <c r="I901" s="6"/>
      <c r="J901" s="6"/>
      <c r="O901" s="10"/>
      <c r="P901" s="10"/>
      <c r="Q901" s="10"/>
    </row>
    <row r="902">
      <c r="G902" s="6"/>
      <c r="H902" s="6"/>
      <c r="I902" s="6"/>
      <c r="J902" s="6"/>
      <c r="O902" s="10"/>
      <c r="P902" s="10"/>
      <c r="Q902" s="10"/>
    </row>
    <row r="903">
      <c r="G903" s="6"/>
      <c r="H903" s="6"/>
      <c r="I903" s="6"/>
      <c r="J903" s="6"/>
      <c r="O903" s="10"/>
      <c r="P903" s="10"/>
      <c r="Q903" s="10"/>
    </row>
    <row r="904">
      <c r="G904" s="6"/>
      <c r="H904" s="6"/>
      <c r="I904" s="6"/>
      <c r="J904" s="6"/>
      <c r="O904" s="10"/>
      <c r="P904" s="10"/>
      <c r="Q904" s="10"/>
    </row>
    <row r="905">
      <c r="G905" s="6"/>
      <c r="H905" s="6"/>
      <c r="I905" s="6"/>
      <c r="J905" s="6"/>
      <c r="O905" s="10"/>
      <c r="P905" s="10"/>
      <c r="Q905" s="10"/>
    </row>
    <row r="906">
      <c r="G906" s="6"/>
      <c r="H906" s="6"/>
      <c r="I906" s="6"/>
      <c r="J906" s="6"/>
      <c r="O906" s="10"/>
      <c r="P906" s="10"/>
      <c r="Q906" s="10"/>
    </row>
    <row r="907">
      <c r="G907" s="6"/>
      <c r="H907" s="6"/>
      <c r="I907" s="6"/>
      <c r="J907" s="6"/>
      <c r="O907" s="10"/>
      <c r="P907" s="10"/>
      <c r="Q907" s="10"/>
    </row>
    <row r="908">
      <c r="G908" s="6"/>
      <c r="H908" s="6"/>
      <c r="I908" s="6"/>
      <c r="J908" s="6"/>
      <c r="O908" s="10"/>
      <c r="P908" s="10"/>
      <c r="Q908" s="10"/>
    </row>
    <row r="909">
      <c r="G909" s="6"/>
      <c r="H909" s="6"/>
      <c r="I909" s="6"/>
      <c r="J909" s="6"/>
      <c r="O909" s="10"/>
      <c r="P909" s="10"/>
      <c r="Q909" s="10"/>
    </row>
    <row r="910">
      <c r="G910" s="6"/>
      <c r="H910" s="6"/>
      <c r="I910" s="6"/>
      <c r="J910" s="6"/>
      <c r="O910" s="10"/>
      <c r="P910" s="10"/>
      <c r="Q910" s="10"/>
    </row>
    <row r="911">
      <c r="G911" s="6"/>
      <c r="H911" s="6"/>
      <c r="I911" s="6"/>
      <c r="J911" s="6"/>
      <c r="O911" s="10"/>
      <c r="P911" s="10"/>
      <c r="Q911" s="10"/>
    </row>
    <row r="912">
      <c r="G912" s="6"/>
      <c r="H912" s="6"/>
      <c r="I912" s="6"/>
      <c r="J912" s="6"/>
      <c r="O912" s="10"/>
      <c r="P912" s="10"/>
      <c r="Q912" s="10"/>
    </row>
    <row r="913">
      <c r="G913" s="6"/>
      <c r="H913" s="6"/>
      <c r="I913" s="6"/>
      <c r="J913" s="6"/>
      <c r="O913" s="10"/>
      <c r="P913" s="10"/>
      <c r="Q913" s="10"/>
    </row>
    <row r="914">
      <c r="G914" s="6"/>
      <c r="H914" s="6"/>
      <c r="I914" s="6"/>
      <c r="J914" s="6"/>
      <c r="O914" s="10"/>
      <c r="P914" s="10"/>
      <c r="Q914" s="10"/>
    </row>
    <row r="915">
      <c r="G915" s="6"/>
      <c r="H915" s="6"/>
      <c r="I915" s="6"/>
      <c r="J915" s="6"/>
      <c r="O915" s="10"/>
      <c r="P915" s="10"/>
      <c r="Q915" s="10"/>
    </row>
    <row r="916">
      <c r="G916" s="6"/>
      <c r="H916" s="6"/>
      <c r="I916" s="6"/>
      <c r="J916" s="6"/>
      <c r="O916" s="10"/>
      <c r="P916" s="10"/>
      <c r="Q916" s="10"/>
    </row>
    <row r="917">
      <c r="G917" s="6"/>
      <c r="H917" s="6"/>
      <c r="I917" s="6"/>
      <c r="J917" s="6"/>
      <c r="O917" s="10"/>
      <c r="P917" s="10"/>
      <c r="Q917" s="10"/>
    </row>
    <row r="918">
      <c r="G918" s="6"/>
      <c r="H918" s="6"/>
      <c r="I918" s="6"/>
      <c r="J918" s="6"/>
      <c r="O918" s="10"/>
      <c r="P918" s="10"/>
      <c r="Q918" s="10"/>
    </row>
    <row r="919">
      <c r="G919" s="6"/>
      <c r="H919" s="6"/>
      <c r="I919" s="6"/>
      <c r="J919" s="6"/>
      <c r="O919" s="10"/>
      <c r="P919" s="10"/>
      <c r="Q919" s="10"/>
    </row>
    <row r="920">
      <c r="G920" s="6"/>
      <c r="H920" s="6"/>
      <c r="I920" s="6"/>
      <c r="J920" s="6"/>
      <c r="O920" s="10"/>
      <c r="P920" s="10"/>
      <c r="Q920" s="10"/>
    </row>
    <row r="921">
      <c r="G921" s="6"/>
      <c r="H921" s="6"/>
      <c r="I921" s="6"/>
      <c r="J921" s="6"/>
      <c r="O921" s="10"/>
      <c r="P921" s="10"/>
      <c r="Q921" s="10"/>
    </row>
    <row r="922">
      <c r="G922" s="6"/>
      <c r="H922" s="6"/>
      <c r="I922" s="6"/>
      <c r="J922" s="6"/>
      <c r="O922" s="10"/>
      <c r="P922" s="10"/>
      <c r="Q922" s="10"/>
    </row>
    <row r="923">
      <c r="G923" s="6"/>
      <c r="H923" s="6"/>
      <c r="I923" s="6"/>
      <c r="J923" s="6"/>
      <c r="O923" s="10"/>
      <c r="P923" s="10"/>
      <c r="Q923" s="10"/>
    </row>
    <row r="924">
      <c r="G924" s="6"/>
      <c r="H924" s="6"/>
      <c r="I924" s="6"/>
      <c r="J924" s="6"/>
      <c r="O924" s="10"/>
      <c r="P924" s="10"/>
      <c r="Q924" s="10"/>
    </row>
    <row r="925">
      <c r="G925" s="6"/>
      <c r="H925" s="6"/>
      <c r="I925" s="6"/>
      <c r="J925" s="6"/>
      <c r="O925" s="10"/>
      <c r="P925" s="10"/>
      <c r="Q925" s="10"/>
    </row>
    <row r="926">
      <c r="G926" s="6"/>
      <c r="H926" s="6"/>
      <c r="I926" s="6"/>
      <c r="J926" s="6"/>
      <c r="O926" s="10"/>
      <c r="P926" s="10"/>
      <c r="Q926" s="10"/>
    </row>
    <row r="927">
      <c r="G927" s="6"/>
      <c r="H927" s="6"/>
      <c r="I927" s="6"/>
      <c r="J927" s="6"/>
      <c r="O927" s="10"/>
      <c r="P927" s="10"/>
      <c r="Q927" s="10"/>
    </row>
    <row r="928">
      <c r="G928" s="6"/>
      <c r="H928" s="6"/>
      <c r="I928" s="6"/>
      <c r="J928" s="6"/>
      <c r="O928" s="10"/>
      <c r="P928" s="10"/>
      <c r="Q928" s="10"/>
    </row>
    <row r="929">
      <c r="G929" s="6"/>
      <c r="H929" s="6"/>
      <c r="I929" s="6"/>
      <c r="J929" s="6"/>
      <c r="O929" s="10"/>
      <c r="P929" s="10"/>
      <c r="Q929" s="10"/>
    </row>
    <row r="930">
      <c r="G930" s="6"/>
      <c r="H930" s="6"/>
      <c r="I930" s="6"/>
      <c r="J930" s="6"/>
      <c r="O930" s="10"/>
      <c r="P930" s="10"/>
      <c r="Q930" s="10"/>
    </row>
    <row r="931">
      <c r="G931" s="6"/>
      <c r="H931" s="6"/>
      <c r="I931" s="6"/>
      <c r="J931" s="6"/>
      <c r="O931" s="10"/>
      <c r="P931" s="10"/>
      <c r="Q931" s="10"/>
    </row>
    <row r="932">
      <c r="G932" s="6"/>
      <c r="H932" s="6"/>
      <c r="I932" s="6"/>
      <c r="J932" s="6"/>
      <c r="O932" s="10"/>
      <c r="P932" s="10"/>
      <c r="Q932" s="10"/>
    </row>
    <row r="933">
      <c r="G933" s="6"/>
      <c r="H933" s="6"/>
      <c r="I933" s="6"/>
      <c r="J933" s="6"/>
      <c r="O933" s="10"/>
      <c r="P933" s="10"/>
      <c r="Q933" s="10"/>
    </row>
    <row r="934">
      <c r="G934" s="6"/>
      <c r="H934" s="6"/>
      <c r="I934" s="6"/>
      <c r="J934" s="6"/>
      <c r="O934" s="10"/>
      <c r="P934" s="10"/>
      <c r="Q934" s="10"/>
    </row>
    <row r="935">
      <c r="G935" s="6"/>
      <c r="H935" s="6"/>
      <c r="I935" s="6"/>
      <c r="J935" s="6"/>
      <c r="O935" s="10"/>
      <c r="P935" s="10"/>
      <c r="Q935" s="10"/>
    </row>
    <row r="936">
      <c r="G936" s="6"/>
      <c r="H936" s="6"/>
      <c r="I936" s="6"/>
      <c r="J936" s="6"/>
      <c r="O936" s="10"/>
      <c r="P936" s="10"/>
      <c r="Q936" s="10"/>
    </row>
    <row r="937">
      <c r="G937" s="6"/>
      <c r="H937" s="6"/>
      <c r="I937" s="6"/>
      <c r="J937" s="6"/>
      <c r="O937" s="10"/>
      <c r="P937" s="10"/>
      <c r="Q937" s="10"/>
    </row>
    <row r="938">
      <c r="G938" s="6"/>
      <c r="H938" s="6"/>
      <c r="I938" s="6"/>
      <c r="J938" s="6"/>
      <c r="O938" s="10"/>
      <c r="P938" s="10"/>
      <c r="Q938" s="10"/>
    </row>
    <row r="939">
      <c r="G939" s="6"/>
      <c r="H939" s="6"/>
      <c r="I939" s="6"/>
      <c r="J939" s="6"/>
      <c r="O939" s="10"/>
      <c r="P939" s="10"/>
      <c r="Q939" s="10"/>
    </row>
    <row r="940">
      <c r="G940" s="6"/>
      <c r="H940" s="6"/>
      <c r="I940" s="6"/>
      <c r="J940" s="6"/>
      <c r="O940" s="10"/>
      <c r="P940" s="10"/>
      <c r="Q940" s="10"/>
    </row>
    <row r="941">
      <c r="G941" s="6"/>
      <c r="H941" s="6"/>
      <c r="I941" s="6"/>
      <c r="J941" s="6"/>
      <c r="O941" s="10"/>
      <c r="P941" s="10"/>
      <c r="Q941" s="10"/>
    </row>
    <row r="942">
      <c r="G942" s="6"/>
      <c r="H942" s="6"/>
      <c r="I942" s="6"/>
      <c r="J942" s="6"/>
      <c r="O942" s="10"/>
      <c r="P942" s="10"/>
      <c r="Q942" s="10"/>
    </row>
    <row r="943">
      <c r="G943" s="6"/>
      <c r="H943" s="6"/>
      <c r="I943" s="6"/>
      <c r="J943" s="6"/>
      <c r="O943" s="10"/>
      <c r="P943" s="10"/>
      <c r="Q943" s="10"/>
    </row>
    <row r="944">
      <c r="G944" s="6"/>
      <c r="H944" s="6"/>
      <c r="I944" s="6"/>
      <c r="J944" s="6"/>
      <c r="O944" s="10"/>
      <c r="P944" s="10"/>
      <c r="Q944" s="10"/>
    </row>
    <row r="945">
      <c r="G945" s="6"/>
      <c r="H945" s="6"/>
      <c r="I945" s="6"/>
      <c r="J945" s="6"/>
      <c r="O945" s="10"/>
      <c r="P945" s="10"/>
      <c r="Q945" s="10"/>
    </row>
    <row r="946">
      <c r="G946" s="6"/>
      <c r="H946" s="6"/>
      <c r="I946" s="6"/>
      <c r="J946" s="6"/>
      <c r="O946" s="10"/>
      <c r="P946" s="10"/>
      <c r="Q946" s="10"/>
    </row>
    <row r="947">
      <c r="G947" s="6"/>
      <c r="H947" s="6"/>
      <c r="I947" s="6"/>
      <c r="J947" s="6"/>
      <c r="O947" s="10"/>
      <c r="P947" s="10"/>
      <c r="Q947" s="10"/>
    </row>
    <row r="948">
      <c r="G948" s="6"/>
      <c r="H948" s="6"/>
      <c r="I948" s="6"/>
      <c r="J948" s="6"/>
      <c r="O948" s="10"/>
      <c r="P948" s="10"/>
      <c r="Q948" s="10"/>
    </row>
    <row r="949">
      <c r="G949" s="6"/>
      <c r="H949" s="6"/>
      <c r="I949" s="6"/>
      <c r="J949" s="6"/>
      <c r="O949" s="10"/>
      <c r="P949" s="10"/>
      <c r="Q949" s="10"/>
    </row>
    <row r="950">
      <c r="G950" s="6"/>
      <c r="H950" s="6"/>
      <c r="I950" s="6"/>
      <c r="J950" s="6"/>
      <c r="O950" s="10"/>
      <c r="P950" s="10"/>
      <c r="Q950" s="10"/>
    </row>
    <row r="951">
      <c r="G951" s="6"/>
      <c r="H951" s="6"/>
      <c r="I951" s="6"/>
      <c r="J951" s="6"/>
      <c r="O951" s="10"/>
      <c r="P951" s="10"/>
      <c r="Q951" s="10"/>
    </row>
    <row r="952">
      <c r="G952" s="6"/>
      <c r="H952" s="6"/>
      <c r="I952" s="6"/>
      <c r="J952" s="6"/>
      <c r="O952" s="10"/>
      <c r="P952" s="10"/>
      <c r="Q952" s="10"/>
    </row>
    <row r="953">
      <c r="G953" s="6"/>
      <c r="H953" s="6"/>
      <c r="I953" s="6"/>
      <c r="J953" s="6"/>
      <c r="O953" s="10"/>
      <c r="P953" s="10"/>
      <c r="Q953" s="10"/>
    </row>
    <row r="954">
      <c r="G954" s="6"/>
      <c r="H954" s="6"/>
      <c r="I954" s="6"/>
      <c r="J954" s="6"/>
      <c r="O954" s="10"/>
      <c r="P954" s="10"/>
      <c r="Q954" s="10"/>
    </row>
    <row r="955">
      <c r="G955" s="6"/>
      <c r="H955" s="6"/>
      <c r="I955" s="6"/>
      <c r="J955" s="6"/>
      <c r="O955" s="10"/>
      <c r="P955" s="10"/>
      <c r="Q955" s="10"/>
    </row>
    <row r="956">
      <c r="G956" s="6"/>
      <c r="H956" s="6"/>
      <c r="I956" s="6"/>
      <c r="J956" s="6"/>
      <c r="O956" s="10"/>
      <c r="P956" s="10"/>
      <c r="Q956" s="10"/>
    </row>
    <row r="957">
      <c r="G957" s="6"/>
      <c r="H957" s="6"/>
      <c r="I957" s="6"/>
      <c r="J957" s="6"/>
      <c r="O957" s="10"/>
      <c r="P957" s="10"/>
      <c r="Q957" s="10"/>
    </row>
    <row r="958">
      <c r="G958" s="6"/>
      <c r="H958" s="6"/>
      <c r="I958" s="6"/>
      <c r="J958" s="6"/>
      <c r="O958" s="10"/>
      <c r="P958" s="10"/>
      <c r="Q958" s="10"/>
    </row>
    <row r="959">
      <c r="G959" s="6"/>
      <c r="H959" s="6"/>
      <c r="I959" s="6"/>
      <c r="J959" s="6"/>
      <c r="O959" s="10"/>
      <c r="P959" s="10"/>
      <c r="Q959" s="10"/>
    </row>
    <row r="960">
      <c r="G960" s="6"/>
      <c r="H960" s="6"/>
      <c r="I960" s="6"/>
      <c r="J960" s="6"/>
      <c r="O960" s="10"/>
      <c r="P960" s="10"/>
      <c r="Q960" s="10"/>
    </row>
    <row r="961">
      <c r="G961" s="6"/>
      <c r="H961" s="6"/>
      <c r="I961" s="6"/>
      <c r="J961" s="6"/>
      <c r="O961" s="10"/>
      <c r="P961" s="10"/>
      <c r="Q961" s="10"/>
    </row>
    <row r="962">
      <c r="G962" s="6"/>
      <c r="H962" s="6"/>
      <c r="I962" s="6"/>
      <c r="J962" s="6"/>
      <c r="O962" s="10"/>
      <c r="P962" s="10"/>
      <c r="Q962" s="10"/>
    </row>
    <row r="963">
      <c r="G963" s="6"/>
      <c r="H963" s="6"/>
      <c r="I963" s="6"/>
      <c r="J963" s="6"/>
      <c r="O963" s="10"/>
      <c r="P963" s="10"/>
      <c r="Q963" s="10"/>
    </row>
    <row r="964">
      <c r="G964" s="6"/>
      <c r="H964" s="6"/>
      <c r="I964" s="6"/>
      <c r="J964" s="6"/>
      <c r="O964" s="10"/>
      <c r="P964" s="10"/>
      <c r="Q964" s="10"/>
    </row>
    <row r="965">
      <c r="G965" s="6"/>
      <c r="H965" s="6"/>
      <c r="I965" s="6"/>
      <c r="J965" s="6"/>
      <c r="O965" s="10"/>
      <c r="P965" s="10"/>
      <c r="Q965" s="10"/>
    </row>
    <row r="966">
      <c r="G966" s="6"/>
      <c r="H966" s="6"/>
      <c r="I966" s="6"/>
      <c r="J966" s="6"/>
      <c r="O966" s="10"/>
      <c r="P966" s="10"/>
      <c r="Q966" s="10"/>
    </row>
    <row r="967">
      <c r="G967" s="6"/>
      <c r="H967" s="6"/>
      <c r="I967" s="6"/>
      <c r="J967" s="6"/>
      <c r="O967" s="10"/>
      <c r="P967" s="10"/>
      <c r="Q967" s="10"/>
    </row>
    <row r="968">
      <c r="G968" s="6"/>
      <c r="H968" s="6"/>
      <c r="I968" s="6"/>
      <c r="J968" s="6"/>
      <c r="O968" s="10"/>
      <c r="P968" s="10"/>
      <c r="Q968" s="10"/>
    </row>
    <row r="969">
      <c r="G969" s="6"/>
      <c r="H969" s="6"/>
      <c r="I969" s="6"/>
      <c r="J969" s="6"/>
      <c r="O969" s="10"/>
      <c r="P969" s="10"/>
      <c r="Q969" s="10"/>
    </row>
    <row r="970">
      <c r="G970" s="6"/>
      <c r="H970" s="6"/>
      <c r="I970" s="6"/>
      <c r="J970" s="6"/>
      <c r="O970" s="10"/>
      <c r="P970" s="10"/>
      <c r="Q970" s="10"/>
    </row>
    <row r="971">
      <c r="G971" s="6"/>
      <c r="H971" s="6"/>
      <c r="I971" s="6"/>
      <c r="J971" s="6"/>
      <c r="O971" s="10"/>
      <c r="P971" s="10"/>
      <c r="Q971" s="10"/>
    </row>
    <row r="972">
      <c r="G972" s="6"/>
      <c r="H972" s="6"/>
      <c r="I972" s="6"/>
      <c r="J972" s="6"/>
      <c r="O972" s="10"/>
      <c r="P972" s="10"/>
      <c r="Q972" s="10"/>
    </row>
    <row r="973">
      <c r="G973" s="6"/>
      <c r="H973" s="6"/>
      <c r="I973" s="6"/>
      <c r="J973" s="6"/>
      <c r="O973" s="10"/>
      <c r="P973" s="10"/>
      <c r="Q973" s="10"/>
    </row>
    <row r="974">
      <c r="G974" s="6"/>
      <c r="H974" s="6"/>
      <c r="I974" s="6"/>
      <c r="J974" s="6"/>
      <c r="O974" s="10"/>
      <c r="P974" s="10"/>
      <c r="Q974" s="10"/>
    </row>
    <row r="975">
      <c r="G975" s="6"/>
      <c r="H975" s="6"/>
      <c r="I975" s="6"/>
      <c r="J975" s="6"/>
      <c r="O975" s="10"/>
      <c r="P975" s="10"/>
      <c r="Q975" s="10"/>
    </row>
    <row r="976">
      <c r="G976" s="6"/>
      <c r="H976" s="6"/>
      <c r="I976" s="6"/>
      <c r="J976" s="6"/>
      <c r="O976" s="10"/>
      <c r="P976" s="10"/>
      <c r="Q976" s="10"/>
    </row>
    <row r="977">
      <c r="G977" s="6"/>
      <c r="H977" s="6"/>
      <c r="I977" s="6"/>
      <c r="J977" s="6"/>
      <c r="O977" s="10"/>
      <c r="P977" s="10"/>
      <c r="Q977" s="10"/>
    </row>
    <row r="978">
      <c r="G978" s="6"/>
      <c r="H978" s="6"/>
      <c r="I978" s="6"/>
      <c r="J978" s="6"/>
      <c r="O978" s="10"/>
      <c r="P978" s="10"/>
      <c r="Q978" s="10"/>
    </row>
    <row r="979">
      <c r="G979" s="6"/>
      <c r="H979" s="6"/>
      <c r="I979" s="6"/>
      <c r="J979" s="6"/>
      <c r="O979" s="10"/>
      <c r="P979" s="10"/>
      <c r="Q979" s="10"/>
    </row>
    <row r="980">
      <c r="G980" s="6"/>
      <c r="H980" s="6"/>
      <c r="I980" s="6"/>
      <c r="J980" s="6"/>
      <c r="O980" s="10"/>
      <c r="P980" s="10"/>
      <c r="Q980" s="10"/>
    </row>
    <row r="981">
      <c r="G981" s="6"/>
      <c r="H981" s="6"/>
      <c r="I981" s="6"/>
      <c r="J981" s="6"/>
      <c r="O981" s="10"/>
      <c r="P981" s="10"/>
      <c r="Q981" s="10"/>
    </row>
    <row r="982">
      <c r="G982" s="6"/>
      <c r="H982" s="6"/>
      <c r="I982" s="6"/>
      <c r="J982" s="6"/>
      <c r="O982" s="10"/>
      <c r="P982" s="10"/>
      <c r="Q982" s="10"/>
    </row>
    <row r="983">
      <c r="G983" s="6"/>
      <c r="H983" s="6"/>
      <c r="I983" s="6"/>
      <c r="J983" s="6"/>
      <c r="O983" s="10"/>
      <c r="P983" s="10"/>
      <c r="Q983" s="10"/>
    </row>
    <row r="984">
      <c r="G984" s="6"/>
      <c r="H984" s="6"/>
      <c r="I984" s="6"/>
      <c r="J984" s="6"/>
      <c r="O984" s="10"/>
      <c r="P984" s="10"/>
      <c r="Q984" s="10"/>
    </row>
    <row r="985">
      <c r="G985" s="6"/>
      <c r="H985" s="6"/>
      <c r="I985" s="6"/>
      <c r="J985" s="6"/>
      <c r="O985" s="10"/>
      <c r="P985" s="10"/>
      <c r="Q985" s="10"/>
    </row>
    <row r="986">
      <c r="G986" s="6"/>
      <c r="H986" s="6"/>
      <c r="I986" s="6"/>
      <c r="J986" s="6"/>
      <c r="O986" s="10"/>
      <c r="P986" s="10"/>
      <c r="Q986" s="10"/>
    </row>
    <row r="987">
      <c r="G987" s="6"/>
      <c r="H987" s="6"/>
      <c r="I987" s="6"/>
      <c r="J987" s="6"/>
      <c r="O987" s="10"/>
      <c r="P987" s="10"/>
      <c r="Q987" s="10"/>
    </row>
    <row r="988">
      <c r="G988" s="6"/>
      <c r="H988" s="6"/>
      <c r="I988" s="6"/>
      <c r="J988" s="6"/>
      <c r="O988" s="10"/>
      <c r="P988" s="10"/>
      <c r="Q988" s="10"/>
    </row>
    <row r="989">
      <c r="G989" s="6"/>
      <c r="H989" s="6"/>
      <c r="I989" s="6"/>
      <c r="J989" s="6"/>
      <c r="O989" s="10"/>
      <c r="P989" s="10"/>
      <c r="Q989" s="10"/>
    </row>
    <row r="990">
      <c r="G990" s="6"/>
      <c r="H990" s="6"/>
      <c r="I990" s="6"/>
      <c r="J990" s="6"/>
      <c r="O990" s="10"/>
      <c r="P990" s="10"/>
      <c r="Q990" s="10"/>
    </row>
    <row r="991">
      <c r="G991" s="6"/>
      <c r="H991" s="6"/>
      <c r="I991" s="6"/>
      <c r="J991" s="6"/>
      <c r="O991" s="10"/>
      <c r="P991" s="10"/>
      <c r="Q991" s="10"/>
    </row>
    <row r="992">
      <c r="G992" s="6"/>
      <c r="H992" s="6"/>
      <c r="I992" s="6"/>
      <c r="J992" s="6"/>
      <c r="O992" s="10"/>
      <c r="P992" s="10"/>
      <c r="Q992" s="10"/>
    </row>
    <row r="993">
      <c r="G993" s="6"/>
      <c r="H993" s="6"/>
      <c r="I993" s="6"/>
      <c r="J993" s="6"/>
      <c r="O993" s="10"/>
      <c r="P993" s="10"/>
      <c r="Q993" s="10"/>
    </row>
    <row r="994">
      <c r="G994" s="6"/>
      <c r="H994" s="6"/>
      <c r="I994" s="6"/>
      <c r="J994" s="6"/>
      <c r="O994" s="10"/>
      <c r="P994" s="10"/>
      <c r="Q994" s="10"/>
    </row>
    <row r="995">
      <c r="G995" s="6"/>
      <c r="H995" s="6"/>
      <c r="I995" s="6"/>
      <c r="J995" s="6"/>
      <c r="O995" s="10"/>
      <c r="P995" s="10"/>
      <c r="Q995" s="10"/>
    </row>
    <row r="996">
      <c r="G996" s="6"/>
      <c r="H996" s="6"/>
      <c r="I996" s="6"/>
      <c r="J996" s="6"/>
      <c r="O996" s="10"/>
      <c r="P996" s="10"/>
      <c r="Q996" s="10"/>
    </row>
    <row r="997">
      <c r="G997" s="6"/>
      <c r="H997" s="6"/>
      <c r="I997" s="6"/>
      <c r="J997" s="6"/>
      <c r="O997" s="10"/>
      <c r="P997" s="10"/>
      <c r="Q997" s="10"/>
    </row>
    <row r="998">
      <c r="G998" s="6"/>
      <c r="H998" s="6"/>
      <c r="I998" s="6"/>
      <c r="J998" s="6"/>
      <c r="O998" s="10"/>
      <c r="P998" s="10"/>
      <c r="Q998" s="10"/>
    </row>
    <row r="999">
      <c r="G999" s="6"/>
      <c r="H999" s="6"/>
      <c r="I999" s="6"/>
      <c r="J999" s="6"/>
      <c r="O999" s="10"/>
      <c r="P999" s="10"/>
      <c r="Q999" s="10"/>
    </row>
    <row r="1000">
      <c r="G1000" s="6"/>
      <c r="H1000" s="6"/>
      <c r="I1000" s="6"/>
      <c r="J1000" s="6"/>
      <c r="O1000" s="10"/>
      <c r="P1000" s="10"/>
      <c r="Q1000" s="10"/>
    </row>
    <row r="1001">
      <c r="G1001" s="6"/>
      <c r="H1001" s="6"/>
      <c r="I1001" s="6"/>
      <c r="J1001" s="6"/>
      <c r="O1001" s="10"/>
      <c r="P1001" s="10"/>
      <c r="Q1001" s="10"/>
    </row>
  </sheetData>
  <mergeCells count="4">
    <mergeCell ref="A1:Q1"/>
    <mergeCell ref="C3:G3"/>
    <mergeCell ref="H3:N3"/>
    <mergeCell ref="O3:Q3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18.0"/>
    <col customWidth="1" min="2" max="2" width="16.13"/>
    <col customWidth="1" min="3" max="4" width="13.75"/>
    <col customWidth="1" min="5" max="5" width="23.5"/>
    <col customWidth="1" min="6" max="6" width="26.75"/>
    <col customWidth="1" min="7" max="7" width="28.0"/>
    <col customWidth="1" min="8" max="8" width="31.13"/>
    <col customWidth="1" min="9" max="9" width="23.13"/>
    <col customWidth="1" min="10" max="10" width="29.13"/>
    <col customWidth="1" min="11" max="11" width="22.63"/>
    <col customWidth="1" min="12" max="12" width="28.38"/>
    <col customWidth="1" min="13" max="14" width="18.75"/>
    <col customWidth="1" min="15" max="15" width="25.25"/>
  </cols>
  <sheetData>
    <row r="1">
      <c r="A1" s="8" t="s">
        <v>21</v>
      </c>
    </row>
    <row r="2">
      <c r="F2" s="6"/>
      <c r="G2" s="6"/>
      <c r="H2" s="6"/>
    </row>
    <row r="3">
      <c r="A3" s="13" t="s">
        <v>26</v>
      </c>
      <c r="B3" s="15" t="s">
        <v>32</v>
      </c>
      <c r="C3" s="19" t="s">
        <v>35</v>
      </c>
      <c r="F3" s="19"/>
      <c r="G3" s="22" t="s">
        <v>18</v>
      </c>
      <c r="O3" s="19" t="s">
        <v>42</v>
      </c>
    </row>
    <row r="4">
      <c r="A4" s="24"/>
      <c r="B4" s="24"/>
      <c r="C4" s="23" t="s">
        <v>4</v>
      </c>
      <c r="D4" s="23" t="s">
        <v>43</v>
      </c>
      <c r="E4" s="23" t="s">
        <v>12</v>
      </c>
      <c r="F4" s="23" t="s">
        <v>44</v>
      </c>
      <c r="G4" s="26" t="s">
        <v>19</v>
      </c>
      <c r="H4" s="26" t="s">
        <v>22</v>
      </c>
      <c r="I4" s="23" t="s">
        <v>45</v>
      </c>
      <c r="J4" s="20" t="s">
        <v>46</v>
      </c>
      <c r="K4" s="23" t="s">
        <v>47</v>
      </c>
      <c r="L4" s="23" t="s">
        <v>49</v>
      </c>
      <c r="M4" s="23" t="s">
        <v>29</v>
      </c>
      <c r="N4" s="27" t="s">
        <v>31</v>
      </c>
      <c r="O4" s="23" t="s">
        <v>36</v>
      </c>
    </row>
    <row r="5">
      <c r="A5" s="30" t="s">
        <v>55</v>
      </c>
      <c r="B5" s="30">
        <v>20.0</v>
      </c>
      <c r="C5" s="31">
        <v>69314.0</v>
      </c>
      <c r="D5" s="31">
        <v>520970.0</v>
      </c>
      <c r="E5" s="20">
        <v>3070.0</v>
      </c>
      <c r="F5" s="32">
        <v>0.00593</v>
      </c>
      <c r="G5" s="32">
        <v>0.00548</v>
      </c>
      <c r="H5" s="32">
        <v>0.0412</v>
      </c>
      <c r="I5" s="31">
        <v>2856.0</v>
      </c>
      <c r="J5" s="31">
        <v>2856.0</v>
      </c>
      <c r="K5" s="31">
        <v>2628.0</v>
      </c>
      <c r="L5" s="31">
        <v>75.0</v>
      </c>
      <c r="M5" s="33">
        <v>75.0</v>
      </c>
      <c r="N5" s="33">
        <v>78.0</v>
      </c>
      <c r="O5" s="33">
        <v>1.0</v>
      </c>
    </row>
    <row r="6">
      <c r="A6" s="30" t="s">
        <v>56</v>
      </c>
      <c r="B6" s="30">
        <v>20.0</v>
      </c>
      <c r="C6" s="31">
        <v>6536659.0</v>
      </c>
      <c r="D6" s="31">
        <v>2829093.0</v>
      </c>
      <c r="E6" s="20">
        <v>5505.0</v>
      </c>
      <c r="F6" s="32">
        <v>0.00195</v>
      </c>
      <c r="G6" s="32">
        <v>0.02636</v>
      </c>
      <c r="H6" s="32">
        <v>0.11337</v>
      </c>
      <c r="I6" s="31">
        <v>671246.0</v>
      </c>
      <c r="J6" s="34">
        <v>74582.889</v>
      </c>
      <c r="K6" s="31">
        <v>654121.0</v>
      </c>
      <c r="L6" s="31">
        <v>354.0</v>
      </c>
      <c r="M6" s="31">
        <v>4557.0</v>
      </c>
      <c r="N6" s="31">
        <v>12214.0</v>
      </c>
      <c r="O6" s="33">
        <v>9.0</v>
      </c>
    </row>
    <row r="7">
      <c r="A7" s="30" t="s">
        <v>57</v>
      </c>
      <c r="B7" s="30">
        <v>20.0</v>
      </c>
      <c r="C7" s="31">
        <v>148434.0</v>
      </c>
      <c r="D7" s="31">
        <v>585577.0</v>
      </c>
      <c r="E7" s="20">
        <v>1145.0</v>
      </c>
      <c r="F7" s="32">
        <v>0.00196</v>
      </c>
      <c r="G7" s="32">
        <v>0.03441</v>
      </c>
      <c r="H7" s="32">
        <v>0.13573</v>
      </c>
      <c r="I7" s="31">
        <v>20147.0</v>
      </c>
      <c r="J7" s="31">
        <v>20147.0</v>
      </c>
      <c r="K7" s="31">
        <v>19355.0</v>
      </c>
      <c r="L7" s="31">
        <v>46.0</v>
      </c>
      <c r="M7" s="33">
        <v>374.0</v>
      </c>
      <c r="N7" s="33">
        <v>372.0</v>
      </c>
      <c r="O7" s="33">
        <v>1.0</v>
      </c>
    </row>
    <row r="8">
      <c r="A8" s="30" t="s">
        <v>58</v>
      </c>
      <c r="B8" s="30">
        <v>20.0</v>
      </c>
      <c r="C8" s="31">
        <v>3434948.0</v>
      </c>
      <c r="D8" s="31">
        <v>2916795.0</v>
      </c>
      <c r="E8" s="20">
        <v>5676.0</v>
      </c>
      <c r="F8" s="32">
        <v>0.00195</v>
      </c>
      <c r="G8" s="32">
        <v>0.06762</v>
      </c>
      <c r="H8" s="32">
        <v>0.17397</v>
      </c>
      <c r="I8" s="31">
        <v>591691.0</v>
      </c>
      <c r="J8" s="34">
        <v>197230.333</v>
      </c>
      <c r="K8" s="31">
        <v>537388.0</v>
      </c>
      <c r="L8" s="31">
        <v>1886.0</v>
      </c>
      <c r="M8" s="31">
        <v>30326.0</v>
      </c>
      <c r="N8" s="31">
        <v>22091.0</v>
      </c>
      <c r="O8" s="33">
        <v>3.0</v>
      </c>
    </row>
    <row r="9">
      <c r="A9" s="30" t="s">
        <v>59</v>
      </c>
      <c r="B9" s="30">
        <v>20.0</v>
      </c>
      <c r="C9" s="31">
        <v>2481093.0</v>
      </c>
      <c r="D9" s="31">
        <v>448115.0</v>
      </c>
      <c r="E9" s="20">
        <v>872.0</v>
      </c>
      <c r="F9" s="32">
        <v>0.00195</v>
      </c>
      <c r="G9" s="32">
        <v>0.0453</v>
      </c>
      <c r="H9" s="32">
        <v>0.06536</v>
      </c>
      <c r="I9" s="31">
        <v>162381.0</v>
      </c>
      <c r="J9" s="34">
        <v>20297.625</v>
      </c>
      <c r="K9" s="31">
        <v>139099.0</v>
      </c>
      <c r="L9" s="31">
        <v>1328.0</v>
      </c>
      <c r="M9" s="31">
        <v>15517.0</v>
      </c>
      <c r="N9" s="31">
        <v>6437.0</v>
      </c>
      <c r="O9" s="33">
        <v>8.0</v>
      </c>
    </row>
    <row r="10">
      <c r="A10" s="30" t="s">
        <v>61</v>
      </c>
      <c r="B10" s="30">
        <v>20.0</v>
      </c>
      <c r="C10" s="31">
        <v>8491348.0</v>
      </c>
      <c r="D10" s="31">
        <v>8464368.0</v>
      </c>
      <c r="E10" s="20">
        <v>16460.0</v>
      </c>
      <c r="F10" s="32">
        <v>0.00195</v>
      </c>
      <c r="G10" s="32">
        <v>0.02356</v>
      </c>
      <c r="H10" s="32">
        <v>0.11907</v>
      </c>
      <c r="I10" s="31">
        <v>997062.0</v>
      </c>
      <c r="J10" s="34">
        <v>199412.4</v>
      </c>
      <c r="K10" s="31">
        <v>917565.0</v>
      </c>
      <c r="L10" s="31">
        <v>5727.0</v>
      </c>
      <c r="M10" s="31">
        <v>37425.0</v>
      </c>
      <c r="N10" s="31">
        <v>36345.0</v>
      </c>
      <c r="O10" s="33">
        <v>5.0</v>
      </c>
    </row>
    <row r="11">
      <c r="A11" s="30" t="s">
        <v>62</v>
      </c>
      <c r="B11" s="30">
        <v>20.0</v>
      </c>
      <c r="C11" s="31">
        <v>714973.0</v>
      </c>
      <c r="D11" s="31">
        <v>409317.0</v>
      </c>
      <c r="E11" s="20">
        <v>798.0</v>
      </c>
      <c r="F11" s="32">
        <v>0.00195</v>
      </c>
      <c r="G11" s="32">
        <v>0.0983</v>
      </c>
      <c r="H11" s="32">
        <v>0.1691</v>
      </c>
      <c r="I11" s="31">
        <v>120705.0</v>
      </c>
      <c r="J11" s="31">
        <v>40235.0</v>
      </c>
      <c r="K11" s="31">
        <v>111109.0</v>
      </c>
      <c r="L11" s="31">
        <v>352.0</v>
      </c>
      <c r="M11" s="31">
        <v>1354.0</v>
      </c>
      <c r="N11" s="31">
        <v>7890.0</v>
      </c>
      <c r="O11" s="33">
        <v>3.0</v>
      </c>
    </row>
    <row r="12">
      <c r="A12" s="30" t="s">
        <v>64</v>
      </c>
      <c r="B12" s="30">
        <v>20.0</v>
      </c>
      <c r="C12" s="31">
        <v>2549567.0</v>
      </c>
      <c r="D12" s="31">
        <v>1.1794032E7</v>
      </c>
      <c r="E12" s="20">
        <v>22939.0</v>
      </c>
      <c r="F12" s="32">
        <v>0.00195</v>
      </c>
      <c r="G12" s="32">
        <v>0.00348</v>
      </c>
      <c r="H12" s="32">
        <v>0.10749</v>
      </c>
      <c r="I12" s="31">
        <v>287578.0</v>
      </c>
      <c r="J12" s="34">
        <v>41082.571</v>
      </c>
      <c r="K12" s="31">
        <v>241859.0</v>
      </c>
      <c r="L12" s="31">
        <v>2835.0</v>
      </c>
      <c r="M12" s="31">
        <v>29988.0</v>
      </c>
      <c r="N12" s="31">
        <v>12896.0</v>
      </c>
      <c r="O12" s="33">
        <v>7.0</v>
      </c>
    </row>
    <row r="13">
      <c r="A13" s="30" t="s">
        <v>65</v>
      </c>
      <c r="B13" s="30">
        <v>20.0</v>
      </c>
      <c r="C13" s="31">
        <v>2114383.0</v>
      </c>
      <c r="D13" s="31">
        <v>2187345.0</v>
      </c>
      <c r="E13" s="20">
        <v>4260.0</v>
      </c>
      <c r="F13" s="32">
        <v>0.00195</v>
      </c>
      <c r="G13" s="32">
        <v>0.02601</v>
      </c>
      <c r="H13" s="32">
        <v>0.07764</v>
      </c>
      <c r="I13" s="31">
        <v>170667.0</v>
      </c>
      <c r="J13" s="31">
        <v>56889.0</v>
      </c>
      <c r="K13" s="31">
        <v>164960.0</v>
      </c>
      <c r="L13" s="31">
        <v>251.0</v>
      </c>
      <c r="M13" s="31">
        <v>1181.0</v>
      </c>
      <c r="N13" s="31">
        <v>4275.0</v>
      </c>
      <c r="O13" s="33">
        <v>3.0</v>
      </c>
    </row>
    <row r="14">
      <c r="A14" s="30" t="s">
        <v>66</v>
      </c>
      <c r="B14" s="30">
        <v>20.0</v>
      </c>
      <c r="C14" s="31">
        <v>851222.0</v>
      </c>
      <c r="D14" s="31">
        <v>774234.0</v>
      </c>
      <c r="E14" s="20">
        <v>1505.0</v>
      </c>
      <c r="F14" s="32">
        <v>0.00195</v>
      </c>
      <c r="G14" s="32">
        <v>0.05353</v>
      </c>
      <c r="H14" s="32">
        <v>0.09322</v>
      </c>
      <c r="I14" s="31">
        <v>82889.0</v>
      </c>
      <c r="J14" s="34">
        <v>41444.5</v>
      </c>
      <c r="K14" s="31">
        <v>75385.0</v>
      </c>
      <c r="L14" s="31">
        <v>2892.0</v>
      </c>
      <c r="M14" s="31">
        <v>1973.0</v>
      </c>
      <c r="N14" s="31">
        <v>2639.0</v>
      </c>
      <c r="O14" s="33">
        <v>2.0</v>
      </c>
    </row>
    <row r="15">
      <c r="A15" s="30" t="s">
        <v>55</v>
      </c>
      <c r="B15" s="30">
        <v>21.0</v>
      </c>
      <c r="C15" s="31">
        <v>91439.0</v>
      </c>
      <c r="D15" s="31">
        <v>524553.0</v>
      </c>
      <c r="E15" s="31">
        <v>3583.0</v>
      </c>
      <c r="F15" s="32">
        <v>0.006877555329481544</v>
      </c>
      <c r="G15" s="32">
        <v>0.00569</v>
      </c>
      <c r="H15" s="32">
        <v>0.07037</v>
      </c>
      <c r="I15" s="31">
        <v>5969.0</v>
      </c>
      <c r="J15" s="34">
        <v>2984.5</v>
      </c>
      <c r="K15" s="31">
        <v>5652.0</v>
      </c>
      <c r="L15" s="33">
        <v>54.0</v>
      </c>
      <c r="M15" s="33">
        <v>97.0</v>
      </c>
      <c r="N15" s="33">
        <v>166.0</v>
      </c>
      <c r="O15" s="33">
        <v>2.0</v>
      </c>
    </row>
    <row r="16">
      <c r="A16" s="30" t="s">
        <v>56</v>
      </c>
      <c r="B16" s="30">
        <v>21.0</v>
      </c>
      <c r="C16" s="31">
        <v>3102240.0</v>
      </c>
      <c r="D16" s="31">
        <v>2835516.0</v>
      </c>
      <c r="E16" s="31">
        <v>6423.0</v>
      </c>
      <c r="F16" s="32">
        <v>0.002270338939016851</v>
      </c>
      <c r="G16" s="32">
        <v>0.02522</v>
      </c>
      <c r="H16" s="32">
        <v>0.15163</v>
      </c>
      <c r="I16" s="31">
        <v>500522.0</v>
      </c>
      <c r="J16" s="34">
        <v>71503.143</v>
      </c>
      <c r="K16" s="31">
        <v>471087.0</v>
      </c>
      <c r="L16" s="33">
        <v>311.0</v>
      </c>
      <c r="M16" s="31">
        <v>10634.0</v>
      </c>
      <c r="N16" s="31">
        <v>18490.0</v>
      </c>
      <c r="O16" s="33">
        <v>7.0</v>
      </c>
    </row>
    <row r="17">
      <c r="A17" s="30" t="s">
        <v>57</v>
      </c>
      <c r="B17" s="30">
        <v>21.0</v>
      </c>
      <c r="C17" s="31">
        <v>730865.0</v>
      </c>
      <c r="D17" s="31">
        <v>586898.0</v>
      </c>
      <c r="E17" s="31">
        <v>1321.0</v>
      </c>
      <c r="F17" s="32">
        <v>0.0022558946133471773</v>
      </c>
      <c r="G17" s="32">
        <v>0.06511</v>
      </c>
      <c r="H17" s="32">
        <v>0.10824</v>
      </c>
      <c r="I17" s="31">
        <v>76421.0</v>
      </c>
      <c r="J17" s="34">
        <v>38210.5</v>
      </c>
      <c r="K17" s="31">
        <v>58760.0</v>
      </c>
      <c r="L17" s="33">
        <v>208.0</v>
      </c>
      <c r="M17" s="31">
        <v>3267.0</v>
      </c>
      <c r="N17" s="31">
        <v>14186.0</v>
      </c>
      <c r="O17" s="33">
        <v>2.0</v>
      </c>
    </row>
    <row r="18">
      <c r="A18" s="30" t="s">
        <v>58</v>
      </c>
      <c r="B18" s="30">
        <v>21.0</v>
      </c>
      <c r="C18" s="31">
        <v>581393.0</v>
      </c>
      <c r="D18" s="31">
        <v>2923413.0</v>
      </c>
      <c r="E18" s="31">
        <v>6618.0</v>
      </c>
      <c r="F18" s="32">
        <v>0.0022689287385640744</v>
      </c>
      <c r="G18" s="32">
        <v>0.0226</v>
      </c>
      <c r="H18" s="32">
        <v>0.11363</v>
      </c>
      <c r="I18" s="31">
        <v>66061.0</v>
      </c>
      <c r="J18" s="31">
        <v>66061.0</v>
      </c>
      <c r="K18" s="31">
        <v>63698.0</v>
      </c>
      <c r="L18" s="33">
        <v>410.0</v>
      </c>
      <c r="M18" s="31">
        <v>304.0</v>
      </c>
      <c r="N18" s="31">
        <v>1649.0</v>
      </c>
      <c r="O18" s="33">
        <v>1.0</v>
      </c>
    </row>
    <row r="19">
      <c r="A19" s="30" t="s">
        <v>59</v>
      </c>
      <c r="B19" s="30">
        <v>21.0</v>
      </c>
      <c r="C19" s="31">
        <v>3168246.0</v>
      </c>
      <c r="D19" s="31">
        <v>449130.0</v>
      </c>
      <c r="E19" s="31">
        <v>1015.0</v>
      </c>
      <c r="F19" s="32">
        <v>0.002265043571404662</v>
      </c>
      <c r="G19" s="32">
        <v>0.07384</v>
      </c>
      <c r="H19" s="32">
        <v>0.08626</v>
      </c>
      <c r="I19" s="31">
        <v>265320.0</v>
      </c>
      <c r="J19" s="31">
        <v>33165.0</v>
      </c>
      <c r="K19" s="31">
        <v>240463.0</v>
      </c>
      <c r="L19" s="31">
        <v>1244.0</v>
      </c>
      <c r="M19" s="31">
        <v>11757.0</v>
      </c>
      <c r="N19" s="31">
        <v>11856.0</v>
      </c>
      <c r="O19" s="33">
        <v>8.0</v>
      </c>
    </row>
    <row r="20">
      <c r="A20" s="30" t="s">
        <v>61</v>
      </c>
      <c r="B20" s="30">
        <v>21.0</v>
      </c>
      <c r="C20" s="31">
        <v>2185909.0</v>
      </c>
      <c r="D20" s="31">
        <v>8483574.0</v>
      </c>
      <c r="E20" s="31">
        <v>19206.0</v>
      </c>
      <c r="F20" s="32">
        <v>0.0022690412326118146</v>
      </c>
      <c r="G20" s="32">
        <v>0.01239</v>
      </c>
      <c r="H20" s="32">
        <v>0.10267</v>
      </c>
      <c r="I20" s="31">
        <v>210147.0</v>
      </c>
      <c r="J20" s="34">
        <v>105073.5</v>
      </c>
      <c r="K20" s="31">
        <v>197925.0</v>
      </c>
      <c r="L20" s="33">
        <v>733.0</v>
      </c>
      <c r="M20" s="31">
        <v>3632.0</v>
      </c>
      <c r="N20" s="31">
        <v>7857.0</v>
      </c>
      <c r="O20" s="33">
        <v>2.0</v>
      </c>
    </row>
    <row r="21">
      <c r="A21" s="30" t="s">
        <v>62</v>
      </c>
      <c r="B21" s="30">
        <v>21.0</v>
      </c>
      <c r="C21" s="31">
        <v>398185.0</v>
      </c>
      <c r="D21" s="31">
        <v>410239.0</v>
      </c>
      <c r="E21" s="31">
        <v>922.0</v>
      </c>
      <c r="F21" s="32">
        <v>0.0022525328779405694</v>
      </c>
      <c r="G21" s="32">
        <v>0.02449</v>
      </c>
      <c r="H21" s="32">
        <v>0.15187</v>
      </c>
      <c r="I21" s="31">
        <v>60271.0</v>
      </c>
      <c r="J21" s="34">
        <v>10045.167</v>
      </c>
      <c r="K21" s="31">
        <v>57321.0</v>
      </c>
      <c r="L21" s="33">
        <v>248.0</v>
      </c>
      <c r="M21" s="31">
        <v>1412.0</v>
      </c>
      <c r="N21" s="31">
        <v>1290.0</v>
      </c>
      <c r="O21" s="33">
        <v>6.0</v>
      </c>
    </row>
    <row r="22">
      <c r="A22" s="30" t="s">
        <v>64</v>
      </c>
      <c r="B22" s="30">
        <v>21.0</v>
      </c>
      <c r="C22" s="31">
        <v>2115779.0</v>
      </c>
      <c r="D22" s="31">
        <v>1.1820788E7</v>
      </c>
      <c r="E22" s="31">
        <v>26756.0</v>
      </c>
      <c r="F22" s="32">
        <v>0.002268605002937079</v>
      </c>
      <c r="G22" s="32">
        <v>0.0024</v>
      </c>
      <c r="H22" s="32">
        <v>0.09685</v>
      </c>
      <c r="I22" s="31">
        <v>198695.0</v>
      </c>
      <c r="J22" s="31">
        <v>28385.0</v>
      </c>
      <c r="K22" s="31">
        <v>172281.0</v>
      </c>
      <c r="L22" s="31">
        <v>1491.0</v>
      </c>
      <c r="M22" s="31">
        <v>16931.0</v>
      </c>
      <c r="N22" s="31">
        <v>7992.0</v>
      </c>
      <c r="O22" s="33">
        <v>7.0</v>
      </c>
    </row>
    <row r="23">
      <c r="A23" s="30" t="s">
        <v>65</v>
      </c>
      <c r="B23" s="30">
        <v>21.0</v>
      </c>
      <c r="C23" s="31">
        <v>2850413.0</v>
      </c>
      <c r="D23" s="31">
        <v>2192300.0</v>
      </c>
      <c r="E23" s="31">
        <v>4955.0</v>
      </c>
      <c r="F23" s="32">
        <v>0.002265303370067365</v>
      </c>
      <c r="G23" s="32">
        <v>0.01712</v>
      </c>
      <c r="H23" s="32">
        <v>0.07566</v>
      </c>
      <c r="I23" s="31">
        <v>225169.0</v>
      </c>
      <c r="J23" s="34">
        <v>37528.167</v>
      </c>
      <c r="K23" s="31">
        <v>216006.0</v>
      </c>
      <c r="L23" s="33">
        <v>642.0</v>
      </c>
      <c r="M23" s="31">
        <v>1988.0</v>
      </c>
      <c r="N23" s="31">
        <v>6533.0</v>
      </c>
      <c r="O23" s="33">
        <v>6.0</v>
      </c>
    </row>
    <row r="24">
      <c r="A24" s="30" t="s">
        <v>66</v>
      </c>
      <c r="B24" s="30">
        <v>21.0</v>
      </c>
      <c r="C24" s="31">
        <v>6224719.0</v>
      </c>
      <c r="D24" s="31">
        <v>775985.0</v>
      </c>
      <c r="E24" s="31">
        <v>1751.0</v>
      </c>
      <c r="F24" s="32">
        <v>0.002261590165247199</v>
      </c>
      <c r="G24" s="32">
        <v>0.12049</v>
      </c>
      <c r="H24" s="32">
        <v>0.09975</v>
      </c>
      <c r="I24" s="31">
        <v>560994.0</v>
      </c>
      <c r="J24" s="31">
        <v>93499.0</v>
      </c>
      <c r="K24" s="31">
        <v>519656.0</v>
      </c>
      <c r="L24" s="31">
        <v>8990.0</v>
      </c>
      <c r="M24" s="31">
        <v>14748.0</v>
      </c>
      <c r="N24" s="31">
        <v>17600.0</v>
      </c>
      <c r="O24" s="33">
        <v>6.0</v>
      </c>
    </row>
    <row r="25">
      <c r="A25" s="30" t="s">
        <v>55</v>
      </c>
      <c r="B25" s="30">
        <v>22.0</v>
      </c>
      <c r="C25" s="31">
        <v>34593.0</v>
      </c>
      <c r="D25" s="31">
        <v>528137.0</v>
      </c>
      <c r="E25" s="31">
        <v>3584.0</v>
      </c>
      <c r="F25" s="32">
        <v>0.006832484038791123</v>
      </c>
      <c r="G25" s="32">
        <v>0.00427</v>
      </c>
      <c r="H25" s="32">
        <v>0.06524</v>
      </c>
      <c r="I25" s="31">
        <v>2257.0</v>
      </c>
      <c r="J25" s="31">
        <v>2257.0</v>
      </c>
      <c r="K25" s="31">
        <v>2155.0</v>
      </c>
      <c r="L25" s="33">
        <v>18.0</v>
      </c>
      <c r="M25" s="33">
        <v>45.0</v>
      </c>
      <c r="N25" s="33">
        <v>39.0</v>
      </c>
      <c r="O25" s="33">
        <v>1.0</v>
      </c>
    </row>
    <row r="26">
      <c r="A26" s="30" t="s">
        <v>56</v>
      </c>
      <c r="B26" s="30">
        <v>22.0</v>
      </c>
      <c r="C26" s="31">
        <v>2441114.0</v>
      </c>
      <c r="D26" s="31">
        <v>2841934.0</v>
      </c>
      <c r="E26" s="31">
        <v>6418.0</v>
      </c>
      <c r="F26" s="32">
        <v>0.0022634328284516824</v>
      </c>
      <c r="G26" s="32">
        <v>0.01437</v>
      </c>
      <c r="H26" s="32">
        <v>0.14889</v>
      </c>
      <c r="I26" s="31">
        <v>367435.0</v>
      </c>
      <c r="J26" s="34">
        <v>40826.111</v>
      </c>
      <c r="K26" s="31">
        <v>341435.0</v>
      </c>
      <c r="L26" s="33">
        <v>496.0</v>
      </c>
      <c r="M26" s="31">
        <v>5620.0</v>
      </c>
      <c r="N26" s="31">
        <v>19884.0</v>
      </c>
      <c r="O26" s="33">
        <v>9.0</v>
      </c>
    </row>
    <row r="27">
      <c r="A27" s="30" t="s">
        <v>57</v>
      </c>
      <c r="B27" s="30">
        <v>22.0</v>
      </c>
      <c r="C27" s="31">
        <v>250893.0</v>
      </c>
      <c r="D27" s="31">
        <v>588227.0</v>
      </c>
      <c r="E27" s="31">
        <v>1329.0</v>
      </c>
      <c r="F27" s="32">
        <v>0.0022644479960742753</v>
      </c>
      <c r="G27" s="32">
        <v>0.0145</v>
      </c>
      <c r="H27" s="32">
        <v>0.10059</v>
      </c>
      <c r="I27" s="31">
        <v>25595.0</v>
      </c>
      <c r="J27" s="34">
        <v>8531.667</v>
      </c>
      <c r="K27" s="31">
        <v>22714.0</v>
      </c>
      <c r="L27" s="33">
        <v>63.0</v>
      </c>
      <c r="M27" s="31">
        <v>730.0</v>
      </c>
      <c r="N27" s="31">
        <v>2088.0</v>
      </c>
      <c r="O27" s="33">
        <v>3.0</v>
      </c>
    </row>
    <row r="28">
      <c r="A28" s="30" t="s">
        <v>58</v>
      </c>
      <c r="B28" s="30">
        <v>22.0</v>
      </c>
      <c r="C28" s="31">
        <v>1402873.0</v>
      </c>
      <c r="D28" s="31">
        <v>2930032.0</v>
      </c>
      <c r="E28" s="31">
        <v>6619.0</v>
      </c>
      <c r="F28" s="32">
        <v>0.002264134420966179</v>
      </c>
      <c r="G28" s="32">
        <v>0.04169</v>
      </c>
      <c r="H28" s="32">
        <v>0.17941</v>
      </c>
      <c r="I28" s="31">
        <v>244283.0</v>
      </c>
      <c r="J28" s="34">
        <v>122141.5</v>
      </c>
      <c r="K28" s="31">
        <v>212262.0</v>
      </c>
      <c r="L28" s="31">
        <v>1007.0</v>
      </c>
      <c r="M28" s="31">
        <v>21615.0</v>
      </c>
      <c r="N28" s="31">
        <v>9399.0</v>
      </c>
      <c r="O28" s="33">
        <v>2.0</v>
      </c>
    </row>
    <row r="29">
      <c r="A29" s="30" t="s">
        <v>59</v>
      </c>
      <c r="B29" s="30">
        <v>22.0</v>
      </c>
      <c r="C29" s="31">
        <v>3652951.0</v>
      </c>
      <c r="D29" s="31">
        <v>450152.0</v>
      </c>
      <c r="E29" s="31">
        <v>1022.0</v>
      </c>
      <c r="F29" s="32">
        <v>0.002275510431278249</v>
      </c>
      <c r="G29" s="32">
        <v>0.07861</v>
      </c>
      <c r="H29" s="32">
        <v>0.06682</v>
      </c>
      <c r="I29" s="31">
        <v>247704.0</v>
      </c>
      <c r="J29" s="34">
        <v>35386.286</v>
      </c>
      <c r="K29" s="31">
        <v>193661.0</v>
      </c>
      <c r="L29" s="31">
        <v>1891.0</v>
      </c>
      <c r="M29" s="31">
        <v>39991.0</v>
      </c>
      <c r="N29" s="31">
        <v>12161.0</v>
      </c>
      <c r="O29" s="33">
        <v>7.0</v>
      </c>
    </row>
    <row r="30">
      <c r="A30" s="30" t="s">
        <v>61</v>
      </c>
      <c r="B30" s="30">
        <v>22.0</v>
      </c>
      <c r="C30" s="31">
        <v>817931.0</v>
      </c>
      <c r="D30" s="31">
        <v>8502784.0</v>
      </c>
      <c r="E30" s="31">
        <v>19210.0</v>
      </c>
      <c r="F30" s="32">
        <v>0.002264375839710952</v>
      </c>
      <c r="G30" s="32">
        <v>0.0052</v>
      </c>
      <c r="H30" s="32">
        <v>0.11267</v>
      </c>
      <c r="I30" s="31">
        <v>88433.0</v>
      </c>
      <c r="J30" s="34">
        <v>44216.5</v>
      </c>
      <c r="K30" s="31">
        <v>83247.0</v>
      </c>
      <c r="L30" s="33">
        <v>486.0</v>
      </c>
      <c r="M30" s="31">
        <v>995.0</v>
      </c>
      <c r="N30" s="31">
        <v>3705.0</v>
      </c>
      <c r="O30" s="33">
        <v>2.0</v>
      </c>
    </row>
    <row r="31">
      <c r="A31" s="30" t="s">
        <v>62</v>
      </c>
      <c r="B31" s="30">
        <v>22.0</v>
      </c>
      <c r="C31" s="31">
        <v>770806.0</v>
      </c>
      <c r="D31" s="31">
        <v>411174.0</v>
      </c>
      <c r="E31" s="31">
        <v>935.0</v>
      </c>
      <c r="F31" s="32">
        <v>0.0022791592218194758</v>
      </c>
      <c r="G31" s="32">
        <v>0.05936</v>
      </c>
      <c r="H31" s="32">
        <v>0.15673</v>
      </c>
      <c r="I31" s="31">
        <v>122037.0</v>
      </c>
      <c r="J31" s="34">
        <v>24407.4</v>
      </c>
      <c r="K31" s="31">
        <v>118854.0</v>
      </c>
      <c r="L31" s="33">
        <v>360.0</v>
      </c>
      <c r="M31" s="31">
        <v>591.0</v>
      </c>
      <c r="N31" s="31">
        <v>2232.0</v>
      </c>
      <c r="O31" s="33">
        <v>5.0</v>
      </c>
    </row>
    <row r="32">
      <c r="A32" s="30" t="s">
        <v>64</v>
      </c>
      <c r="B32" s="30">
        <v>22.0</v>
      </c>
      <c r="C32" s="31">
        <v>3394697.0</v>
      </c>
      <c r="D32" s="31">
        <v>1.1847548E7</v>
      </c>
      <c r="E32" s="31">
        <v>26760.0</v>
      </c>
      <c r="F32" s="32">
        <v>0.0022638084702982578</v>
      </c>
      <c r="G32" s="32">
        <v>0.00449</v>
      </c>
      <c r="H32" s="32">
        <v>0.11602</v>
      </c>
      <c r="I32" s="31">
        <v>425357.0</v>
      </c>
      <c r="J32" s="34">
        <v>53169.625</v>
      </c>
      <c r="K32" s="31">
        <v>361028.0</v>
      </c>
      <c r="L32" s="31">
        <v>2511.0</v>
      </c>
      <c r="M32" s="31">
        <v>44600.0</v>
      </c>
      <c r="N32" s="31">
        <v>17218.0</v>
      </c>
      <c r="O32" s="33">
        <v>8.0</v>
      </c>
    </row>
    <row r="33">
      <c r="A33" s="30" t="s">
        <v>65</v>
      </c>
      <c r="B33" s="30">
        <v>22.0</v>
      </c>
      <c r="C33" s="31">
        <v>1180303.0</v>
      </c>
      <c r="D33" s="31">
        <v>2197271.0</v>
      </c>
      <c r="E33" s="31">
        <v>4971.0</v>
      </c>
      <c r="F33" s="32">
        <v>0.002267481640286457</v>
      </c>
      <c r="G33" s="32">
        <v>0.01375</v>
      </c>
      <c r="H33" s="32">
        <v>0.0696</v>
      </c>
      <c r="I33" s="31">
        <v>90639.0</v>
      </c>
      <c r="J33" s="31">
        <v>30213.0</v>
      </c>
      <c r="K33" s="31">
        <v>87415.0</v>
      </c>
      <c r="L33" s="33">
        <v>157.0</v>
      </c>
      <c r="M33" s="31">
        <v>1321.0</v>
      </c>
      <c r="N33" s="31">
        <v>1746.0</v>
      </c>
      <c r="O33" s="33">
        <v>3.0</v>
      </c>
    </row>
    <row r="34">
      <c r="A34" s="30" t="s">
        <v>66</v>
      </c>
      <c r="B34" s="30">
        <v>22.0</v>
      </c>
      <c r="C34" s="31">
        <v>6446903.0</v>
      </c>
      <c r="D34" s="31">
        <v>777743.0</v>
      </c>
      <c r="E34" s="31">
        <v>1758.0</v>
      </c>
      <c r="F34" s="32">
        <v>0.0022655077095562414</v>
      </c>
      <c r="G34" s="32">
        <v>0.17649</v>
      </c>
      <c r="H34" s="32">
        <v>0.09981</v>
      </c>
      <c r="I34" s="31">
        <v>549049.0</v>
      </c>
      <c r="J34" s="34">
        <v>137262.25</v>
      </c>
      <c r="K34" s="31">
        <v>506437.0</v>
      </c>
      <c r="L34" s="31">
        <v>5871.0</v>
      </c>
      <c r="M34" s="31">
        <v>18395.0</v>
      </c>
      <c r="N34" s="31">
        <v>18346.0</v>
      </c>
      <c r="O34" s="33">
        <v>4.0</v>
      </c>
    </row>
    <row r="35">
      <c r="A35" s="30" t="s">
        <v>55</v>
      </c>
      <c r="B35" s="30">
        <v>23.0</v>
      </c>
      <c r="C35" s="31">
        <v>1015007.0</v>
      </c>
      <c r="D35" s="31">
        <v>528647.0</v>
      </c>
      <c r="E35" s="31">
        <v>510.0</v>
      </c>
      <c r="F35" s="32">
        <v>9.656585317824731E-4</v>
      </c>
      <c r="G35" s="38">
        <v>0.01574</v>
      </c>
      <c r="H35" s="38">
        <v>0.05217</v>
      </c>
      <c r="I35" s="31">
        <v>58250.0</v>
      </c>
      <c r="J35" s="34">
        <v>8321.429</v>
      </c>
      <c r="K35" s="31">
        <v>55862.0</v>
      </c>
      <c r="L35" s="33">
        <v>395.0</v>
      </c>
      <c r="M35" s="31">
        <v>1070.0</v>
      </c>
      <c r="N35" s="33">
        <v>923.0</v>
      </c>
      <c r="O35" s="33">
        <v>7.0</v>
      </c>
    </row>
    <row r="36">
      <c r="A36" s="30" t="s">
        <v>56</v>
      </c>
      <c r="B36" s="30">
        <v>23.0</v>
      </c>
      <c r="C36" s="31">
        <v>4485150.0</v>
      </c>
      <c r="D36" s="31">
        <v>2842852.0</v>
      </c>
      <c r="E36" s="31">
        <v>918.0</v>
      </c>
      <c r="F36" s="32">
        <v>3.23019464913682E-4</v>
      </c>
      <c r="G36" s="38">
        <v>0.02114</v>
      </c>
      <c r="H36" s="38">
        <v>0.14645</v>
      </c>
      <c r="I36" s="31">
        <v>721063.0</v>
      </c>
      <c r="J36" s="34">
        <v>60088.583</v>
      </c>
      <c r="K36" s="31">
        <v>676197.0</v>
      </c>
      <c r="L36" s="31">
        <v>1036.0</v>
      </c>
      <c r="M36" s="31">
        <v>19503.0</v>
      </c>
      <c r="N36" s="31">
        <v>24327.0</v>
      </c>
      <c r="O36" s="33">
        <v>12.0</v>
      </c>
    </row>
    <row r="37">
      <c r="A37" s="30" t="s">
        <v>57</v>
      </c>
      <c r="B37" s="30">
        <v>23.0</v>
      </c>
      <c r="C37" s="31">
        <v>179802.0</v>
      </c>
      <c r="D37" s="31">
        <v>588420.0</v>
      </c>
      <c r="E37" s="31">
        <v>193.0</v>
      </c>
      <c r="F37" s="32">
        <v>3.281046262752305E-4</v>
      </c>
      <c r="G37" s="38">
        <v>0.04343</v>
      </c>
      <c r="H37" s="38">
        <v>0.14212</v>
      </c>
      <c r="I37" s="31">
        <v>25553.0</v>
      </c>
      <c r="J37" s="31">
        <v>25553.0</v>
      </c>
      <c r="K37" s="31">
        <v>22692.0</v>
      </c>
      <c r="L37" s="33">
        <v>249.0</v>
      </c>
      <c r="M37" s="33">
        <v>870.0</v>
      </c>
      <c r="N37" s="31">
        <v>1742.0</v>
      </c>
      <c r="O37" s="33">
        <v>1.0</v>
      </c>
    </row>
    <row r="38">
      <c r="A38" s="30" t="s">
        <v>58</v>
      </c>
      <c r="B38" s="30">
        <v>23.0</v>
      </c>
      <c r="C38" s="31">
        <v>756226.0</v>
      </c>
      <c r="D38" s="31">
        <v>2930975.0</v>
      </c>
      <c r="E38" s="31">
        <v>943.0</v>
      </c>
      <c r="F38" s="32">
        <v>3.2183948844244706E-4</v>
      </c>
      <c r="G38" s="38">
        <v>0.01442</v>
      </c>
      <c r="H38" s="38">
        <v>0.18845</v>
      </c>
      <c r="I38" s="31">
        <v>126805.0</v>
      </c>
      <c r="J38" s="34">
        <v>42268.333</v>
      </c>
      <c r="K38" s="31">
        <v>116051.0</v>
      </c>
      <c r="L38" s="33">
        <v>957.0</v>
      </c>
      <c r="M38" s="31">
        <v>5254.0</v>
      </c>
      <c r="N38" s="31">
        <v>4543.0</v>
      </c>
      <c r="O38" s="33">
        <v>3.0</v>
      </c>
    </row>
    <row r="39">
      <c r="A39" s="30" t="s">
        <v>59</v>
      </c>
      <c r="B39" s="30">
        <v>23.0</v>
      </c>
      <c r="C39" s="31">
        <v>3067896.0</v>
      </c>
      <c r="D39" s="31">
        <v>450293.0</v>
      </c>
      <c r="E39" s="31">
        <v>141.0</v>
      </c>
      <c r="F39" s="32">
        <v>3.132275320336242E-4</v>
      </c>
      <c r="G39" s="38">
        <v>0.05635</v>
      </c>
      <c r="H39" s="38">
        <v>0.06415</v>
      </c>
      <c r="I39" s="31">
        <v>202983.0</v>
      </c>
      <c r="J39" s="34">
        <v>25372.875</v>
      </c>
      <c r="K39" s="31">
        <v>178779.0</v>
      </c>
      <c r="L39" s="33">
        <v>957.0</v>
      </c>
      <c r="M39" s="31">
        <v>15509.0</v>
      </c>
      <c r="N39" s="31">
        <v>7738.0</v>
      </c>
      <c r="O39" s="33">
        <v>8.0</v>
      </c>
    </row>
    <row r="40">
      <c r="A40" s="30" t="s">
        <v>61</v>
      </c>
      <c r="B40" s="30">
        <v>23.0</v>
      </c>
      <c r="C40" s="31">
        <v>1570176.0</v>
      </c>
      <c r="D40" s="31">
        <v>8505527.0</v>
      </c>
      <c r="E40" s="31">
        <v>2743.0</v>
      </c>
      <c r="F40" s="32">
        <v>3.2260022129222617E-4</v>
      </c>
      <c r="G40" s="38">
        <v>0.01943</v>
      </c>
      <c r="H40" s="38">
        <v>0.19479</v>
      </c>
      <c r="I40" s="31">
        <v>330600.0</v>
      </c>
      <c r="J40" s="31">
        <v>165300.0</v>
      </c>
      <c r="K40" s="31">
        <v>282777.0</v>
      </c>
      <c r="L40" s="31">
        <v>1533.0</v>
      </c>
      <c r="M40" s="31">
        <v>25087.0</v>
      </c>
      <c r="N40" s="31">
        <v>21203.0</v>
      </c>
      <c r="O40" s="33">
        <v>2.0</v>
      </c>
    </row>
    <row r="41">
      <c r="A41" s="30" t="s">
        <v>62</v>
      </c>
      <c r="B41" s="30">
        <v>23.0</v>
      </c>
      <c r="C41" s="31">
        <v>2080685.0</v>
      </c>
      <c r="D41" s="31">
        <v>411303.0</v>
      </c>
      <c r="E41" s="31">
        <v>129.0</v>
      </c>
      <c r="F41" s="32">
        <v>3.1373579068715436E-4</v>
      </c>
      <c r="G41" s="38">
        <v>0.11853</v>
      </c>
      <c r="H41" s="38">
        <v>0.14669</v>
      </c>
      <c r="I41" s="31">
        <v>292522.0</v>
      </c>
      <c r="J41" s="34">
        <v>48753.667</v>
      </c>
      <c r="K41" s="31">
        <v>277959.0</v>
      </c>
      <c r="L41" s="33">
        <v>716.0</v>
      </c>
      <c r="M41" s="31">
        <v>3001.0</v>
      </c>
      <c r="N41" s="31">
        <v>10846.0</v>
      </c>
      <c r="O41" s="33">
        <v>6.0</v>
      </c>
    </row>
    <row r="42">
      <c r="A42" s="30" t="s">
        <v>64</v>
      </c>
      <c r="B42" s="30">
        <v>23.0</v>
      </c>
      <c r="C42" s="31">
        <v>1257529.0</v>
      </c>
      <c r="D42" s="31">
        <v>1.1851374E7</v>
      </c>
      <c r="E42" s="31">
        <v>3826.0</v>
      </c>
      <c r="F42" s="32">
        <v>3.229360201790278E-4</v>
      </c>
      <c r="G42" s="38">
        <v>0.00181</v>
      </c>
      <c r="H42" s="38">
        <v>0.11381</v>
      </c>
      <c r="I42" s="31">
        <v>150076.0</v>
      </c>
      <c r="J42" s="34">
        <v>21439.429</v>
      </c>
      <c r="K42" s="31">
        <v>125631.0</v>
      </c>
      <c r="L42" s="31">
        <v>1175.0</v>
      </c>
      <c r="M42" s="31">
        <v>16489.0</v>
      </c>
      <c r="N42" s="31">
        <v>6781.0</v>
      </c>
      <c r="O42" s="33">
        <v>7.0</v>
      </c>
    </row>
    <row r="43">
      <c r="A43" s="30" t="s">
        <v>65</v>
      </c>
      <c r="B43" s="30">
        <v>23.0</v>
      </c>
      <c r="C43" s="31">
        <v>4317943.0</v>
      </c>
      <c r="D43" s="31">
        <v>2197980.0</v>
      </c>
      <c r="E43" s="31">
        <v>709.0</v>
      </c>
      <c r="F43" s="32">
        <v>3.2267298844794294E-4</v>
      </c>
      <c r="G43" s="38">
        <v>0.03365</v>
      </c>
      <c r="H43" s="38">
        <v>0.0895</v>
      </c>
      <c r="I43" s="31">
        <v>517749.0</v>
      </c>
      <c r="J43" s="34">
        <v>73964.143</v>
      </c>
      <c r="K43" s="31">
        <v>493080.0</v>
      </c>
      <c r="L43" s="31">
        <v>1439.0</v>
      </c>
      <c r="M43" s="31">
        <v>7295.0</v>
      </c>
      <c r="N43" s="31">
        <v>15935.0</v>
      </c>
      <c r="O43" s="33">
        <v>7.0</v>
      </c>
    </row>
    <row r="44">
      <c r="A44" s="30" t="s">
        <v>66</v>
      </c>
      <c r="B44" s="30">
        <v>23.0</v>
      </c>
      <c r="C44" s="31">
        <v>821220.0</v>
      </c>
      <c r="D44" s="31">
        <v>777998.0</v>
      </c>
      <c r="E44" s="31">
        <v>255.0</v>
      </c>
      <c r="F44" s="32">
        <v>3.2787180341063823E-4</v>
      </c>
      <c r="G44" s="38">
        <v>0.05975</v>
      </c>
      <c r="H44" s="38">
        <v>0.1068</v>
      </c>
      <c r="I44" s="31">
        <v>92966.0</v>
      </c>
      <c r="J44" s="31">
        <v>46483.0</v>
      </c>
      <c r="K44" s="31">
        <v>84828.0</v>
      </c>
      <c r="L44" s="31">
        <v>1924.0</v>
      </c>
      <c r="M44" s="31">
        <v>3419.0</v>
      </c>
      <c r="N44" s="31">
        <v>2795.0</v>
      </c>
      <c r="O44" s="33">
        <v>2.0</v>
      </c>
    </row>
    <row r="45">
      <c r="A45" s="30" t="s">
        <v>55</v>
      </c>
      <c r="B45" s="30">
        <v>24.0</v>
      </c>
      <c r="C45" s="31">
        <v>1514143.0</v>
      </c>
      <c r="D45" s="31">
        <v>528883.0</v>
      </c>
      <c r="E45" s="31">
        <v>236.0</v>
      </c>
      <c r="F45" s="32">
        <v>4.464226601115678E-4</v>
      </c>
      <c r="G45" s="38">
        <v>0.02694</v>
      </c>
      <c r="H45" s="38">
        <v>0.05197</v>
      </c>
      <c r="I45" s="31">
        <v>85483.0</v>
      </c>
      <c r="J45" s="34">
        <v>14247.167</v>
      </c>
      <c r="K45" s="31">
        <v>80648.0</v>
      </c>
      <c r="L45" s="33">
        <v>334.0</v>
      </c>
      <c r="M45" s="31">
        <v>2880.0</v>
      </c>
      <c r="N45" s="31">
        <v>1621.0</v>
      </c>
      <c r="O45" s="33">
        <v>6.0</v>
      </c>
    </row>
    <row r="46">
      <c r="A46" s="30" t="s">
        <v>56</v>
      </c>
      <c r="B46" s="30">
        <v>24.0</v>
      </c>
      <c r="C46" s="31">
        <v>3351132.0</v>
      </c>
      <c r="D46" s="31">
        <v>2841687.0</v>
      </c>
      <c r="E46" s="31">
        <v>-1165.0</v>
      </c>
      <c r="F46" s="32">
        <v>-4.0979973632113105E-4</v>
      </c>
      <c r="G46" s="38">
        <v>0.00948</v>
      </c>
      <c r="H46" s="38">
        <v>0.15116</v>
      </c>
      <c r="I46" s="31">
        <v>511896.0</v>
      </c>
      <c r="J46" s="34">
        <v>26941.895</v>
      </c>
      <c r="K46" s="31">
        <v>490376.0</v>
      </c>
      <c r="L46" s="33">
        <v>795.0</v>
      </c>
      <c r="M46" s="31">
        <v>5741.0</v>
      </c>
      <c r="N46" s="31">
        <v>14984.0</v>
      </c>
      <c r="O46" s="33">
        <v>19.0</v>
      </c>
    </row>
    <row r="47">
      <c r="A47" s="30" t="s">
        <v>57</v>
      </c>
      <c r="B47" s="30">
        <v>24.0</v>
      </c>
      <c r="C47" s="31">
        <v>769260.0</v>
      </c>
      <c r="D47" s="31">
        <v>589966.0</v>
      </c>
      <c r="E47" s="31">
        <v>1546.0</v>
      </c>
      <c r="F47" s="32">
        <v>0.002627375004248666</v>
      </c>
      <c r="G47" s="38">
        <v>0.11591</v>
      </c>
      <c r="H47" s="38">
        <v>0.0889</v>
      </c>
      <c r="I47" s="31">
        <v>68385.0</v>
      </c>
      <c r="J47" s="31">
        <v>68385.0</v>
      </c>
      <c r="K47" s="31">
        <v>60409.0</v>
      </c>
      <c r="L47" s="33">
        <v>706.0</v>
      </c>
      <c r="M47" s="31">
        <v>2799.0</v>
      </c>
      <c r="N47" s="31">
        <v>4471.0</v>
      </c>
      <c r="O47" s="33">
        <v>1.0</v>
      </c>
    </row>
    <row r="48">
      <c r="A48" s="30" t="s">
        <v>58</v>
      </c>
      <c r="B48" s="30">
        <v>24.0</v>
      </c>
      <c r="C48" s="31">
        <v>1186763.0</v>
      </c>
      <c r="D48" s="31">
        <v>2930617.0</v>
      </c>
      <c r="E48" s="31">
        <v>-358.0</v>
      </c>
      <c r="F48" s="32">
        <v>-1.221436552682981E-4</v>
      </c>
      <c r="G48" s="38">
        <v>0.06304</v>
      </c>
      <c r="H48" s="38">
        <v>0.15567</v>
      </c>
      <c r="I48" s="31">
        <v>184747.0</v>
      </c>
      <c r="J48" s="31">
        <v>184747.0</v>
      </c>
      <c r="K48" s="31">
        <v>152489.0</v>
      </c>
      <c r="L48" s="31">
        <v>1184.0</v>
      </c>
      <c r="M48" s="31">
        <v>23862.0</v>
      </c>
      <c r="N48" s="31">
        <v>7212.0</v>
      </c>
      <c r="O48" s="33">
        <v>1.0</v>
      </c>
    </row>
    <row r="49">
      <c r="A49" s="30" t="s">
        <v>59</v>
      </c>
      <c r="B49" s="30">
        <v>24.0</v>
      </c>
      <c r="C49" s="31">
        <v>2372203.0</v>
      </c>
      <c r="D49" s="31">
        <v>450833.0</v>
      </c>
      <c r="E49" s="31">
        <v>540.0</v>
      </c>
      <c r="F49" s="32">
        <v>0.001199219175070454</v>
      </c>
      <c r="G49" s="38">
        <v>0.06125</v>
      </c>
      <c r="H49" s="38">
        <v>0.06686</v>
      </c>
      <c r="I49" s="31">
        <v>165694.0</v>
      </c>
      <c r="J49" s="34">
        <v>27615.667</v>
      </c>
      <c r="K49" s="31">
        <v>154567.0</v>
      </c>
      <c r="L49" s="33">
        <v>725.0</v>
      </c>
      <c r="M49" s="31">
        <v>4900.0</v>
      </c>
      <c r="N49" s="31">
        <v>5502.0</v>
      </c>
      <c r="O49" s="33">
        <v>6.0</v>
      </c>
    </row>
    <row r="50">
      <c r="A50" s="30" t="s">
        <v>61</v>
      </c>
      <c r="B50" s="30">
        <v>24.0</v>
      </c>
      <c r="C50" s="31">
        <v>1502868.0</v>
      </c>
      <c r="D50" s="31">
        <v>8505240.0</v>
      </c>
      <c r="E50" s="31">
        <v>-287.0</v>
      </c>
      <c r="F50" s="32">
        <v>-3.3742765145534195E-5</v>
      </c>
      <c r="G50" s="38">
        <v>0.00815</v>
      </c>
      <c r="H50" s="38">
        <v>0.15441</v>
      </c>
      <c r="I50" s="31">
        <v>207934.0</v>
      </c>
      <c r="J50" s="34">
        <v>69311.333</v>
      </c>
      <c r="K50" s="31">
        <v>200952.0</v>
      </c>
      <c r="L50" s="33">
        <v>746.0</v>
      </c>
      <c r="M50" s="31">
        <v>1832.0</v>
      </c>
      <c r="N50" s="31">
        <v>4404.0</v>
      </c>
      <c r="O50" s="33">
        <v>3.0</v>
      </c>
    </row>
    <row r="51">
      <c r="A51" s="30" t="s">
        <v>62</v>
      </c>
      <c r="B51" s="30">
        <v>24.0</v>
      </c>
      <c r="C51" s="31">
        <v>1118712.0</v>
      </c>
      <c r="D51" s="31">
        <v>415862.0</v>
      </c>
      <c r="E51" s="31">
        <v>4559.0</v>
      </c>
      <c r="F51" s="32">
        <v>0.011084285794171207</v>
      </c>
      <c r="G51" s="38">
        <v>0.20868</v>
      </c>
      <c r="H51" s="38">
        <v>0.17047</v>
      </c>
      <c r="I51" s="31">
        <v>173564.0</v>
      </c>
      <c r="J51" s="31">
        <v>86782.0</v>
      </c>
      <c r="K51" s="31">
        <v>165418.0</v>
      </c>
      <c r="L51" s="33">
        <v>399.0</v>
      </c>
      <c r="M51" s="31">
        <v>1334.0</v>
      </c>
      <c r="N51" s="31">
        <v>6413.0</v>
      </c>
      <c r="O51" s="33">
        <v>2.0</v>
      </c>
    </row>
    <row r="52">
      <c r="A52" s="30" t="s">
        <v>64</v>
      </c>
      <c r="B52" s="30">
        <v>24.0</v>
      </c>
      <c r="C52" s="31">
        <v>1583627.0</v>
      </c>
      <c r="D52" s="31">
        <v>1.184933E7</v>
      </c>
      <c r="E52" s="31">
        <v>-2044.0</v>
      </c>
      <c r="F52" s="32">
        <v>-1.724694537527885E-4</v>
      </c>
      <c r="G52" s="38">
        <v>0.00263</v>
      </c>
      <c r="H52" s="38">
        <v>0.12372</v>
      </c>
      <c r="I52" s="31">
        <v>218497.0</v>
      </c>
      <c r="J52" s="34">
        <v>31213.857</v>
      </c>
      <c r="K52" s="31">
        <v>181765.0</v>
      </c>
      <c r="L52" s="31">
        <v>1866.0</v>
      </c>
      <c r="M52" s="31">
        <v>24546.0</v>
      </c>
      <c r="N52" s="31">
        <v>10320.0</v>
      </c>
      <c r="O52" s="33">
        <v>7.0</v>
      </c>
    </row>
    <row r="53">
      <c r="A53" s="30" t="s">
        <v>65</v>
      </c>
      <c r="B53" s="30">
        <v>24.0</v>
      </c>
      <c r="C53" s="31">
        <v>4835848.0</v>
      </c>
      <c r="D53" s="31">
        <v>2199882.0</v>
      </c>
      <c r="E53" s="31">
        <v>1902.0</v>
      </c>
      <c r="F53" s="32">
        <v>8.653399939944858E-4</v>
      </c>
      <c r="G53" s="38">
        <v>0.03226</v>
      </c>
      <c r="H53" s="38">
        <v>0.08626</v>
      </c>
      <c r="I53" s="31">
        <v>496793.0</v>
      </c>
      <c r="J53" s="34">
        <v>70970.429</v>
      </c>
      <c r="K53" s="31">
        <v>481709.0</v>
      </c>
      <c r="L53" s="31">
        <v>2179.0</v>
      </c>
      <c r="M53" s="31">
        <v>2230.0</v>
      </c>
      <c r="N53" s="31">
        <v>10675.0</v>
      </c>
      <c r="O53" s="33">
        <v>7.0</v>
      </c>
      <c r="P53" s="33"/>
    </row>
    <row r="54">
      <c r="A54" s="30" t="s">
        <v>66</v>
      </c>
      <c r="B54" s="30">
        <v>24.0</v>
      </c>
      <c r="C54" s="31">
        <v>8963279.0</v>
      </c>
      <c r="D54" s="31">
        <v>795729.0</v>
      </c>
      <c r="E54" s="31">
        <v>17731.0</v>
      </c>
      <c r="F54" s="32">
        <v>0.02279054701940108</v>
      </c>
      <c r="G54" s="38">
        <v>0.44308</v>
      </c>
      <c r="H54" s="38">
        <v>0.10027</v>
      </c>
      <c r="I54" s="31">
        <v>1057714.0</v>
      </c>
      <c r="J54" s="34">
        <v>352571.333</v>
      </c>
      <c r="K54" s="31">
        <v>954000.0</v>
      </c>
      <c r="L54" s="31">
        <v>8769.0</v>
      </c>
      <c r="M54" s="31">
        <v>47974.0</v>
      </c>
      <c r="N54" s="31">
        <v>46971.0</v>
      </c>
      <c r="O54" s="33">
        <v>3.0</v>
      </c>
      <c r="P54" s="33"/>
    </row>
    <row r="55">
      <c r="A55" s="30" t="s">
        <v>55</v>
      </c>
      <c r="B55" s="30">
        <v>25.0</v>
      </c>
      <c r="C55" s="31">
        <v>1615880.0</v>
      </c>
      <c r="D55" s="31">
        <v>529148.0</v>
      </c>
      <c r="E55" s="31">
        <v>265.0</v>
      </c>
      <c r="F55" s="32">
        <v>5.010559991529318E-4</v>
      </c>
      <c r="G55" s="38">
        <v>0.01543</v>
      </c>
      <c r="H55" s="38">
        <v>0.04846</v>
      </c>
      <c r="I55" s="31">
        <v>81657.0</v>
      </c>
      <c r="J55" s="34">
        <v>8165.7</v>
      </c>
      <c r="K55" s="31">
        <v>79090.0</v>
      </c>
      <c r="L55" s="31">
        <v>438.0</v>
      </c>
      <c r="M55" s="33">
        <v>958.0</v>
      </c>
      <c r="N55" s="31">
        <v>1171.0</v>
      </c>
      <c r="O55" s="31">
        <v>10.0</v>
      </c>
      <c r="P55" s="31"/>
    </row>
    <row r="56">
      <c r="A56" s="30" t="s">
        <v>56</v>
      </c>
      <c r="B56" s="30">
        <v>25.0</v>
      </c>
      <c r="C56" s="31">
        <v>2392837.0</v>
      </c>
      <c r="D56" s="31">
        <v>2839848.0</v>
      </c>
      <c r="E56" s="31">
        <v>-1839.0</v>
      </c>
      <c r="F56" s="32">
        <v>-6.471507945808247E-4</v>
      </c>
      <c r="G56" s="38">
        <v>0.01144</v>
      </c>
      <c r="H56" s="38">
        <v>0.14128</v>
      </c>
      <c r="I56" s="31">
        <v>357341.0</v>
      </c>
      <c r="J56" s="34">
        <v>32485.545</v>
      </c>
      <c r="K56" s="31">
        <v>335350.0</v>
      </c>
      <c r="L56" s="31">
        <v>469.0</v>
      </c>
      <c r="M56" s="31">
        <v>12021.0</v>
      </c>
      <c r="N56" s="31">
        <v>9501.0</v>
      </c>
      <c r="O56" s="31">
        <v>11.0</v>
      </c>
      <c r="P56" s="31"/>
    </row>
    <row r="57">
      <c r="A57" s="30" t="s">
        <v>57</v>
      </c>
      <c r="B57" s="30">
        <v>25.0</v>
      </c>
      <c r="C57" s="31">
        <v>81163.0</v>
      </c>
      <c r="D57" s="31">
        <v>590751.0</v>
      </c>
      <c r="E57" s="31">
        <v>785.0</v>
      </c>
      <c r="F57" s="32">
        <v>0.0013305851523647124</v>
      </c>
      <c r="G57" s="38">
        <v>0.02071</v>
      </c>
      <c r="H57" s="38">
        <v>0.15072</v>
      </c>
      <c r="I57" s="31">
        <v>12233.0</v>
      </c>
      <c r="J57" s="31">
        <v>12233.0</v>
      </c>
      <c r="K57" s="31">
        <v>11437.0</v>
      </c>
      <c r="L57" s="31">
        <v>44.0</v>
      </c>
      <c r="M57" s="33">
        <v>236.0</v>
      </c>
      <c r="N57" s="33">
        <v>516.0</v>
      </c>
      <c r="O57" s="31">
        <v>1.0</v>
      </c>
      <c r="P57" s="31"/>
    </row>
    <row r="58">
      <c r="A58" s="30" t="s">
        <v>58</v>
      </c>
      <c r="B58" s="30">
        <v>25.0</v>
      </c>
      <c r="C58" s="31">
        <v>3080730.0</v>
      </c>
      <c r="D58" s="31">
        <v>2930132.0</v>
      </c>
      <c r="E58" s="31">
        <v>-485.0</v>
      </c>
      <c r="F58" s="32">
        <v>-1.6549416044471182E-4</v>
      </c>
      <c r="G58" s="38">
        <v>0.07521</v>
      </c>
      <c r="H58" s="38">
        <v>0.14288</v>
      </c>
      <c r="I58" s="31">
        <v>440757.0</v>
      </c>
      <c r="J58" s="31">
        <v>220378.5</v>
      </c>
      <c r="K58" s="31">
        <v>389129.0</v>
      </c>
      <c r="L58" s="31">
        <v>1358.0</v>
      </c>
      <c r="M58" s="31">
        <v>35381.0</v>
      </c>
      <c r="N58" s="31">
        <v>14889.0</v>
      </c>
      <c r="O58" s="31">
        <v>2.0</v>
      </c>
      <c r="P58" s="31"/>
    </row>
    <row r="59">
      <c r="A59" s="30" t="s">
        <v>59</v>
      </c>
      <c r="B59" s="30">
        <v>25.0</v>
      </c>
      <c r="C59" s="31">
        <v>4126753.0</v>
      </c>
      <c r="D59" s="31">
        <v>451456.0</v>
      </c>
      <c r="E59" s="31">
        <v>623.0</v>
      </c>
      <c r="F59" s="32">
        <v>0.0013818864191396814</v>
      </c>
      <c r="G59" s="38">
        <v>0.15302</v>
      </c>
      <c r="H59" s="38">
        <v>0.09094</v>
      </c>
      <c r="I59" s="31">
        <v>552667.0</v>
      </c>
      <c r="J59" s="31">
        <v>69083.375</v>
      </c>
      <c r="K59" s="31">
        <v>459137.0</v>
      </c>
      <c r="L59" s="31">
        <v>2192.0</v>
      </c>
      <c r="M59" s="31">
        <v>67629.0</v>
      </c>
      <c r="N59" s="31">
        <v>23709.0</v>
      </c>
      <c r="O59" s="31">
        <v>8.0</v>
      </c>
      <c r="P59" s="31"/>
    </row>
    <row r="60">
      <c r="A60" s="30" t="s">
        <v>61</v>
      </c>
      <c r="B60" s="30">
        <v>25.0</v>
      </c>
      <c r="C60" s="31">
        <v>1353486.0</v>
      </c>
      <c r="D60" s="31">
        <v>8501650.0</v>
      </c>
      <c r="E60" s="31">
        <v>-3590.0</v>
      </c>
      <c r="F60" s="32">
        <v>-4.2209273342080884E-4</v>
      </c>
      <c r="G60" s="38">
        <v>0.00811</v>
      </c>
      <c r="H60" s="38">
        <v>0.15392</v>
      </c>
      <c r="I60" s="31">
        <v>206884.0</v>
      </c>
      <c r="J60" s="31">
        <v>68961.333</v>
      </c>
      <c r="K60" s="31">
        <v>199909.0</v>
      </c>
      <c r="L60" s="31">
        <v>714.0</v>
      </c>
      <c r="M60" s="31">
        <v>1578.0</v>
      </c>
      <c r="N60" s="31">
        <v>4683.0</v>
      </c>
      <c r="O60" s="31">
        <v>3.0</v>
      </c>
      <c r="P60" s="31"/>
    </row>
    <row r="61">
      <c r="A61" s="30" t="s">
        <v>62</v>
      </c>
      <c r="B61" s="30">
        <v>25.0</v>
      </c>
      <c r="C61" s="31">
        <v>1737802.0</v>
      </c>
      <c r="D61" s="31">
        <v>422062.0</v>
      </c>
      <c r="E61" s="31">
        <v>6200.0</v>
      </c>
      <c r="F61" s="32">
        <v>0.014908791858837787</v>
      </c>
      <c r="G61" s="38">
        <v>0.17107</v>
      </c>
      <c r="H61" s="38">
        <v>0.16568</v>
      </c>
      <c r="I61" s="31">
        <v>288815.0</v>
      </c>
      <c r="J61" s="34">
        <v>72203.75</v>
      </c>
      <c r="K61" s="31">
        <v>275537.0</v>
      </c>
      <c r="L61" s="31">
        <v>1269.0</v>
      </c>
      <c r="M61" s="31">
        <v>2984.0</v>
      </c>
      <c r="N61" s="31">
        <v>9025.0</v>
      </c>
      <c r="O61" s="33">
        <v>4.0</v>
      </c>
      <c r="P61" s="31"/>
    </row>
    <row r="62">
      <c r="A62" s="30" t="s">
        <v>64</v>
      </c>
      <c r="B62" s="30">
        <v>25.0</v>
      </c>
      <c r="C62" s="31">
        <v>2274209.0</v>
      </c>
      <c r="D62" s="31">
        <v>1.1845302E7</v>
      </c>
      <c r="E62" s="31">
        <v>-4028.0</v>
      </c>
      <c r="F62" s="32">
        <v>-3.399348317584201E-4</v>
      </c>
      <c r="G62" s="38">
        <v>0.00331</v>
      </c>
      <c r="H62" s="38">
        <v>0.11905</v>
      </c>
      <c r="I62" s="31">
        <v>274217.0</v>
      </c>
      <c r="J62" s="34">
        <v>39173.857</v>
      </c>
      <c r="K62" s="31">
        <v>222568.0</v>
      </c>
      <c r="L62" s="31">
        <v>2126.0</v>
      </c>
      <c r="M62" s="31">
        <v>38290.0</v>
      </c>
      <c r="N62" s="31">
        <v>11233.0</v>
      </c>
      <c r="O62" s="33">
        <v>7.0</v>
      </c>
      <c r="P62" s="31"/>
    </row>
    <row r="63">
      <c r="A63" s="30" t="s">
        <v>65</v>
      </c>
      <c r="B63" s="30">
        <v>25.0</v>
      </c>
      <c r="C63" s="31">
        <v>2133350.0</v>
      </c>
      <c r="D63" s="31">
        <v>2199471.0</v>
      </c>
      <c r="E63" s="31">
        <v>-411.0</v>
      </c>
      <c r="F63" s="32">
        <v>-1.868282026035942E-4</v>
      </c>
      <c r="G63" s="38">
        <v>0.02063</v>
      </c>
      <c r="H63" s="38">
        <v>0.08099</v>
      </c>
      <c r="I63" s="31">
        <v>226839.0</v>
      </c>
      <c r="J63" s="34">
        <v>45367.8</v>
      </c>
      <c r="K63" s="31">
        <v>209842.0</v>
      </c>
      <c r="L63" s="33">
        <v>334.0</v>
      </c>
      <c r="M63" s="31">
        <v>2951.0</v>
      </c>
      <c r="N63" s="31">
        <v>13712.0</v>
      </c>
      <c r="O63" s="33">
        <v>5.0</v>
      </c>
      <c r="P63" s="31"/>
    </row>
    <row r="64">
      <c r="A64" s="30" t="s">
        <v>66</v>
      </c>
      <c r="B64" s="30">
        <v>25.0</v>
      </c>
      <c r="C64" s="31">
        <v>2599148.0</v>
      </c>
      <c r="D64" s="31">
        <v>812755.0</v>
      </c>
      <c r="E64" s="31">
        <v>17026.0</v>
      </c>
      <c r="F64" s="32">
        <v>0.021396731801907435</v>
      </c>
      <c r="G64" s="38">
        <v>0.09489</v>
      </c>
      <c r="H64" s="38">
        <v>0.08389</v>
      </c>
      <c r="I64" s="31">
        <v>231364.0</v>
      </c>
      <c r="J64" s="34">
        <v>77121.333</v>
      </c>
      <c r="K64" s="31">
        <v>215150.0</v>
      </c>
      <c r="L64" s="31">
        <v>3421.0</v>
      </c>
      <c r="M64" s="31">
        <v>4905.0</v>
      </c>
      <c r="N64" s="31">
        <v>7888.0</v>
      </c>
      <c r="O64" s="33">
        <v>3.0</v>
      </c>
    </row>
    <row r="65">
      <c r="A65" s="30" t="s">
        <v>55</v>
      </c>
      <c r="B65" s="30">
        <v>26.0</v>
      </c>
      <c r="C65" s="31">
        <v>4597805.0</v>
      </c>
      <c r="D65" s="31">
        <v>531035.0</v>
      </c>
      <c r="E65" s="31">
        <v>1887.0</v>
      </c>
      <c r="F65" s="32">
        <v>0.003566110048606439</v>
      </c>
      <c r="G65" s="38">
        <v>0.02694</v>
      </c>
      <c r="H65" s="38">
        <v>0.04475</v>
      </c>
      <c r="I65" s="31">
        <v>200286.0</v>
      </c>
      <c r="J65" s="34">
        <v>14306.143</v>
      </c>
      <c r="K65" s="31">
        <v>191801.0</v>
      </c>
      <c r="L65" s="31">
        <v>1472.0</v>
      </c>
      <c r="M65" s="31">
        <v>3590.0</v>
      </c>
      <c r="N65" s="31">
        <v>3423.0</v>
      </c>
      <c r="O65" s="33">
        <v>14.0</v>
      </c>
      <c r="P65" s="33"/>
      <c r="Q65" s="33"/>
    </row>
    <row r="66">
      <c r="A66" s="30" t="s">
        <v>56</v>
      </c>
      <c r="B66" s="30">
        <v>26.0</v>
      </c>
      <c r="C66" s="31">
        <v>4666552.0</v>
      </c>
      <c r="D66" s="31">
        <v>2838427.0</v>
      </c>
      <c r="E66" s="31">
        <v>-1421.0</v>
      </c>
      <c r="F66" s="32">
        <v>-5.003788935182446E-4</v>
      </c>
      <c r="G66" s="38">
        <v>0.02238</v>
      </c>
      <c r="H66" s="38">
        <v>0.1497</v>
      </c>
      <c r="I66" s="31">
        <v>762207.0</v>
      </c>
      <c r="J66" s="34">
        <v>63517.25</v>
      </c>
      <c r="K66" s="31">
        <v>708126.0</v>
      </c>
      <c r="L66" s="33">
        <v>997.0</v>
      </c>
      <c r="M66" s="31">
        <v>35481.0</v>
      </c>
      <c r="N66" s="31">
        <v>17603.0</v>
      </c>
      <c r="O66" s="33">
        <v>12.0</v>
      </c>
      <c r="P66" s="33"/>
      <c r="Q66" s="33"/>
    </row>
    <row r="67">
      <c r="A67" s="30" t="s">
        <v>57</v>
      </c>
      <c r="B67" s="30">
        <v>26.0</v>
      </c>
      <c r="C67" s="31">
        <v>238043.0</v>
      </c>
      <c r="D67" s="31">
        <v>591592.0</v>
      </c>
      <c r="E67" s="31">
        <v>841.0</v>
      </c>
      <c r="F67" s="32">
        <v>0.0014236116400987895</v>
      </c>
      <c r="G67" s="38">
        <v>0.0464</v>
      </c>
      <c r="H67" s="38">
        <v>0.11531</v>
      </c>
      <c r="I67" s="31">
        <v>27449.0</v>
      </c>
      <c r="J67" s="31">
        <v>27449.0</v>
      </c>
      <c r="K67" s="31">
        <v>19178.0</v>
      </c>
      <c r="L67" s="33">
        <v>74.0</v>
      </c>
      <c r="M67" s="31">
        <v>1882.0</v>
      </c>
      <c r="N67" s="31">
        <v>6315.0</v>
      </c>
      <c r="O67" s="33">
        <v>1.0</v>
      </c>
      <c r="P67" s="33"/>
      <c r="Q67" s="33"/>
    </row>
    <row r="68">
      <c r="A68" s="30" t="s">
        <v>58</v>
      </c>
      <c r="B68" s="30">
        <v>26.0</v>
      </c>
      <c r="C68" s="31">
        <v>2822997.0</v>
      </c>
      <c r="D68" s="31">
        <v>2929865.0</v>
      </c>
      <c r="E68" s="31">
        <v>-267.0</v>
      </c>
      <c r="F68" s="32">
        <v>-9.112217470066195E-5</v>
      </c>
      <c r="G68" s="38">
        <v>0.06846</v>
      </c>
      <c r="H68" s="38">
        <v>0.1418</v>
      </c>
      <c r="I68" s="31">
        <v>401134.0</v>
      </c>
      <c r="J68" s="31">
        <v>200567.0</v>
      </c>
      <c r="K68" s="31">
        <v>354582.0</v>
      </c>
      <c r="L68" s="31">
        <v>1771.0</v>
      </c>
      <c r="M68" s="31">
        <v>31457.0</v>
      </c>
      <c r="N68" s="31">
        <v>13324.0</v>
      </c>
      <c r="O68" s="33">
        <v>2.0</v>
      </c>
      <c r="P68" s="33"/>
      <c r="Q68" s="33"/>
    </row>
    <row r="69">
      <c r="A69" s="30" t="s">
        <v>59</v>
      </c>
      <c r="B69" s="30">
        <v>26.0</v>
      </c>
      <c r="C69" s="31">
        <v>512753.0</v>
      </c>
      <c r="D69" s="31">
        <v>451539.0</v>
      </c>
      <c r="E69" s="31">
        <v>83.0</v>
      </c>
      <c r="F69" s="32">
        <v>1.8384958888573857E-4</v>
      </c>
      <c r="G69" s="38">
        <v>0.00755</v>
      </c>
      <c r="H69" s="38">
        <v>0.03573</v>
      </c>
      <c r="I69" s="31">
        <v>13630.0</v>
      </c>
      <c r="J69" s="34">
        <v>3407.5</v>
      </c>
      <c r="K69" s="31">
        <v>12093.0</v>
      </c>
      <c r="L69" s="33">
        <v>232.0</v>
      </c>
      <c r="M69" s="33">
        <v>720.0</v>
      </c>
      <c r="N69" s="33">
        <v>585.0</v>
      </c>
      <c r="O69" s="33">
        <v>4.0</v>
      </c>
      <c r="P69" s="33"/>
      <c r="Q69" s="33"/>
    </row>
    <row r="70">
      <c r="A70" s="30" t="s">
        <v>61</v>
      </c>
      <c r="B70" s="30">
        <v>26.0</v>
      </c>
      <c r="C70" s="31">
        <v>600842.0</v>
      </c>
      <c r="D70" s="31">
        <v>8500106.0</v>
      </c>
      <c r="E70" s="31">
        <v>-1544.0</v>
      </c>
      <c r="F70" s="32">
        <v>-1.8161180476730987E-4</v>
      </c>
      <c r="G70" s="38">
        <v>0.00563</v>
      </c>
      <c r="H70" s="38">
        <v>0.15324</v>
      </c>
      <c r="I70" s="31">
        <v>95640.0</v>
      </c>
      <c r="J70" s="31">
        <v>47820.0</v>
      </c>
      <c r="K70" s="31">
        <v>93333.0</v>
      </c>
      <c r="L70" s="33">
        <v>244.0</v>
      </c>
      <c r="M70" s="33">
        <v>223.0</v>
      </c>
      <c r="N70" s="31">
        <v>1840.0</v>
      </c>
      <c r="O70" s="33">
        <v>2.0</v>
      </c>
      <c r="P70" s="33"/>
      <c r="Q70" s="33"/>
    </row>
    <row r="71">
      <c r="A71" s="30" t="s">
        <v>62</v>
      </c>
      <c r="B71" s="30">
        <v>26.0</v>
      </c>
      <c r="C71" s="31">
        <v>2522618.0</v>
      </c>
      <c r="D71" s="31">
        <v>432448.0</v>
      </c>
      <c r="E71" s="31">
        <v>10386.0</v>
      </c>
      <c r="F71" s="32">
        <v>0.024607759049618302</v>
      </c>
      <c r="G71" s="38">
        <v>0.19928</v>
      </c>
      <c r="H71" s="38">
        <v>0.13763</v>
      </c>
      <c r="I71" s="31">
        <v>344719.0</v>
      </c>
      <c r="J71" s="34">
        <v>86179.75</v>
      </c>
      <c r="K71" s="31">
        <v>322048.0</v>
      </c>
      <c r="L71" s="31">
        <v>1610.0</v>
      </c>
      <c r="M71" s="31">
        <v>4888.0</v>
      </c>
      <c r="N71" s="31">
        <v>16173.0</v>
      </c>
      <c r="O71" s="33">
        <v>4.0</v>
      </c>
      <c r="P71" s="33"/>
      <c r="Q71" s="33"/>
    </row>
    <row r="72">
      <c r="A72" s="30" t="s">
        <v>64</v>
      </c>
      <c r="B72" s="30">
        <v>26.0</v>
      </c>
      <c r="C72" s="31">
        <v>1039323.0</v>
      </c>
      <c r="D72" s="31">
        <v>1.1841619E7</v>
      </c>
      <c r="E72" s="31">
        <v>-3683.0</v>
      </c>
      <c r="F72" s="32">
        <v>-3.1092495573350516E-4</v>
      </c>
      <c r="G72" s="38">
        <v>0.00143</v>
      </c>
      <c r="H72" s="38">
        <v>0.11036</v>
      </c>
      <c r="I72" s="31">
        <v>118780.0</v>
      </c>
      <c r="J72" s="34">
        <v>16968.571</v>
      </c>
      <c r="K72" s="31">
        <v>105912.0</v>
      </c>
      <c r="L72" s="31">
        <v>1004.0</v>
      </c>
      <c r="M72" s="31">
        <v>7770.0</v>
      </c>
      <c r="N72" s="31">
        <v>4094.0</v>
      </c>
      <c r="O72" s="33">
        <v>7.0</v>
      </c>
      <c r="P72" s="33"/>
      <c r="Q72" s="33"/>
    </row>
    <row r="73">
      <c r="A73" s="30" t="s">
        <v>65</v>
      </c>
      <c r="B73" s="30">
        <v>26.0</v>
      </c>
      <c r="C73" s="31">
        <v>4510870.0</v>
      </c>
      <c r="D73" s="31">
        <v>2198796.0</v>
      </c>
      <c r="E73" s="31">
        <v>-675.0</v>
      </c>
      <c r="F73" s="32">
        <v>-3.0689197538862756E-4</v>
      </c>
      <c r="G73" s="38">
        <v>0.01551</v>
      </c>
      <c r="H73" s="38">
        <v>0.06366</v>
      </c>
      <c r="I73" s="31">
        <v>272804.0</v>
      </c>
      <c r="J73" s="34">
        <v>34100.5</v>
      </c>
      <c r="K73" s="31">
        <v>262667.0</v>
      </c>
      <c r="L73" s="33">
        <v>523.0</v>
      </c>
      <c r="M73" s="31">
        <v>2389.0</v>
      </c>
      <c r="N73" s="31">
        <v>7225.0</v>
      </c>
      <c r="O73" s="33">
        <v>8.0</v>
      </c>
      <c r="P73" s="33"/>
      <c r="Q73" s="33"/>
    </row>
    <row r="74">
      <c r="A74" s="30" t="s">
        <v>66</v>
      </c>
      <c r="B74" s="30">
        <v>26.0</v>
      </c>
      <c r="C74" s="31">
        <v>5923318.0</v>
      </c>
      <c r="D74" s="31">
        <v>824668.0</v>
      </c>
      <c r="E74" s="31">
        <v>11913.0</v>
      </c>
      <c r="F74" s="32">
        <v>0.01465755362932249</v>
      </c>
      <c r="G74" s="38">
        <v>0.18563</v>
      </c>
      <c r="H74" s="38">
        <v>0.09585</v>
      </c>
      <c r="I74" s="31">
        <v>612345.0</v>
      </c>
      <c r="J74" s="34">
        <v>153086.25</v>
      </c>
      <c r="K74" s="31">
        <v>557567.0</v>
      </c>
      <c r="L74" s="31">
        <v>4860.0</v>
      </c>
      <c r="M74" s="31">
        <v>25625.0</v>
      </c>
      <c r="N74" s="31">
        <v>24293.0</v>
      </c>
      <c r="O74" s="33">
        <v>4.0</v>
      </c>
      <c r="P74" s="33"/>
      <c r="Q74" s="33"/>
    </row>
    <row r="75">
      <c r="A75" s="30" t="s">
        <v>55</v>
      </c>
      <c r="B75" s="30">
        <v>27.0</v>
      </c>
      <c r="C75" s="31">
        <v>3731342.0</v>
      </c>
      <c r="D75" s="46">
        <v>533896.0</v>
      </c>
      <c r="E75" s="31">
        <v>2861.0</v>
      </c>
      <c r="F75" s="32">
        <v>0.005387592154942706</v>
      </c>
      <c r="G75" s="38">
        <v>0.05502</v>
      </c>
      <c r="H75" s="38">
        <v>0.05333</v>
      </c>
      <c r="I75" s="31">
        <v>205620.0</v>
      </c>
      <c r="J75" s="34">
        <v>29374.286</v>
      </c>
      <c r="K75" s="31">
        <v>196892.0</v>
      </c>
      <c r="L75" s="31">
        <v>2848.0</v>
      </c>
      <c r="M75" s="31">
        <v>3507.0</v>
      </c>
      <c r="N75" s="31">
        <v>2373.0</v>
      </c>
      <c r="O75" s="33">
        <v>7.0</v>
      </c>
      <c r="P75" s="33"/>
      <c r="Q75" s="33"/>
    </row>
    <row r="76">
      <c r="A76" s="30" t="s">
        <v>56</v>
      </c>
      <c r="B76" s="30">
        <v>27.0</v>
      </c>
      <c r="C76" s="31">
        <v>3368624.0</v>
      </c>
      <c r="D76" s="46">
        <v>2836851.0</v>
      </c>
      <c r="E76" s="31">
        <v>-1576.0</v>
      </c>
      <c r="F76" s="32">
        <v>-5.552371084406962E-4</v>
      </c>
      <c r="G76" s="38">
        <v>0.01411</v>
      </c>
      <c r="H76" s="38">
        <v>0.14668</v>
      </c>
      <c r="I76" s="31">
        <v>480259.0</v>
      </c>
      <c r="J76" s="34">
        <v>40021.583</v>
      </c>
      <c r="K76" s="31">
        <v>454577.0</v>
      </c>
      <c r="L76" s="33">
        <v>559.0</v>
      </c>
      <c r="M76" s="31">
        <v>14645.0</v>
      </c>
      <c r="N76" s="31">
        <v>10478.0</v>
      </c>
      <c r="O76" s="33">
        <v>12.0</v>
      </c>
      <c r="P76" s="33"/>
      <c r="Q76" s="33"/>
    </row>
    <row r="77">
      <c r="A77" s="30" t="s">
        <v>57</v>
      </c>
      <c r="B77" s="30">
        <v>27.0</v>
      </c>
      <c r="C77" s="31">
        <v>390456.0</v>
      </c>
      <c r="D77" s="46">
        <v>592327.0</v>
      </c>
      <c r="E77" s="31">
        <v>735.0</v>
      </c>
      <c r="F77" s="32">
        <v>0.001242410309808111</v>
      </c>
      <c r="G77" s="38">
        <v>0.06493</v>
      </c>
      <c r="H77" s="38">
        <v>0.0985</v>
      </c>
      <c r="I77" s="31">
        <v>38460.0</v>
      </c>
      <c r="J77" s="31">
        <v>38460.0</v>
      </c>
      <c r="K77" s="31">
        <v>31194.0</v>
      </c>
      <c r="L77" s="33">
        <v>187.0</v>
      </c>
      <c r="M77" s="31">
        <v>1349.0</v>
      </c>
      <c r="N77" s="31">
        <v>5730.0</v>
      </c>
      <c r="O77" s="33">
        <v>1.0</v>
      </c>
      <c r="P77" s="33"/>
      <c r="Q77" s="33"/>
    </row>
    <row r="78">
      <c r="A78" s="30" t="s">
        <v>58</v>
      </c>
      <c r="B78" s="30">
        <v>27.0</v>
      </c>
      <c r="C78" s="31">
        <v>2366436.0</v>
      </c>
      <c r="D78" s="46">
        <v>2956460.0</v>
      </c>
      <c r="E78" s="31">
        <v>26595.0</v>
      </c>
      <c r="F78" s="32">
        <v>0.009077210042100915</v>
      </c>
      <c r="G78" s="38">
        <v>0.06935</v>
      </c>
      <c r="H78" s="38">
        <v>0.17525</v>
      </c>
      <c r="I78" s="31">
        <v>410032.0</v>
      </c>
      <c r="J78" s="31">
        <v>205016.0</v>
      </c>
      <c r="K78" s="31">
        <v>349345.0</v>
      </c>
      <c r="L78" s="31">
        <v>3310.0</v>
      </c>
      <c r="M78" s="31">
        <v>39473.0</v>
      </c>
      <c r="N78" s="31">
        <v>17904.0</v>
      </c>
      <c r="O78" s="33">
        <v>2.0</v>
      </c>
      <c r="P78" s="33"/>
      <c r="Q78" s="33"/>
    </row>
    <row r="79">
      <c r="A79" s="30" t="s">
        <v>59</v>
      </c>
      <c r="B79" s="30">
        <v>27.0</v>
      </c>
      <c r="C79" s="31">
        <v>2087479.0</v>
      </c>
      <c r="D79" s="46">
        <v>452265.0</v>
      </c>
      <c r="E79" s="31">
        <v>726.0</v>
      </c>
      <c r="F79" s="32">
        <v>0.0016078345392092376</v>
      </c>
      <c r="G79" s="38">
        <v>0.08239</v>
      </c>
      <c r="H79" s="38">
        <v>0.07345</v>
      </c>
      <c r="I79" s="31">
        <v>186315.0</v>
      </c>
      <c r="J79" s="31">
        <v>37263.0</v>
      </c>
      <c r="K79" s="31">
        <v>163771.0</v>
      </c>
      <c r="L79" s="33">
        <v>585.0</v>
      </c>
      <c r="M79" s="31">
        <v>13664.0</v>
      </c>
      <c r="N79" s="31">
        <v>8295.0</v>
      </c>
      <c r="O79" s="33">
        <v>5.0</v>
      </c>
      <c r="P79" s="33"/>
      <c r="Q79" s="33"/>
    </row>
    <row r="80">
      <c r="A80" s="30" t="s">
        <v>61</v>
      </c>
      <c r="B80" s="30">
        <v>27.0</v>
      </c>
      <c r="C80" s="31">
        <v>4906294.0</v>
      </c>
      <c r="D80" s="46">
        <v>8500711.0</v>
      </c>
      <c r="E80" s="31">
        <v>605.0</v>
      </c>
      <c r="F80" s="32">
        <v>7.117558298684746E-5</v>
      </c>
      <c r="G80" s="38">
        <v>0.01904</v>
      </c>
      <c r="H80" s="38">
        <v>0.13927</v>
      </c>
      <c r="I80" s="31">
        <v>647525.0</v>
      </c>
      <c r="J80" s="34">
        <v>161881.25</v>
      </c>
      <c r="K80" s="31">
        <v>531323.0</v>
      </c>
      <c r="L80" s="31">
        <v>2163.0</v>
      </c>
      <c r="M80" s="31">
        <v>24533.0</v>
      </c>
      <c r="N80" s="31">
        <v>89506.0</v>
      </c>
      <c r="O80" s="33">
        <v>4.0</v>
      </c>
      <c r="P80" s="33"/>
      <c r="Q80" s="33"/>
    </row>
    <row r="81">
      <c r="A81" s="30" t="s">
        <v>62</v>
      </c>
      <c r="B81" s="30">
        <v>27.0</v>
      </c>
      <c r="C81" s="31">
        <v>1403300.0</v>
      </c>
      <c r="D81" s="46">
        <v>447808.0</v>
      </c>
      <c r="E81" s="31">
        <v>15360.0</v>
      </c>
      <c r="F81" s="32">
        <v>0.03551872132603226</v>
      </c>
      <c r="G81" s="38">
        <v>0.15165</v>
      </c>
      <c r="H81" s="38">
        <v>0.18335</v>
      </c>
      <c r="I81" s="31">
        <v>271638.0</v>
      </c>
      <c r="J81" s="34">
        <v>67909.5</v>
      </c>
      <c r="K81" s="31">
        <v>247085.0</v>
      </c>
      <c r="L81" s="33">
        <v>892.0</v>
      </c>
      <c r="M81" s="31">
        <v>4090.0</v>
      </c>
      <c r="N81" s="31">
        <v>19571.0</v>
      </c>
      <c r="O81" s="33">
        <v>4.0</v>
      </c>
      <c r="P81" s="33"/>
      <c r="Q81" s="33"/>
    </row>
    <row r="82">
      <c r="A82" s="30" t="s">
        <v>64</v>
      </c>
      <c r="B82" s="30">
        <v>27.0</v>
      </c>
      <c r="C82" s="31">
        <v>1259463.0</v>
      </c>
      <c r="D82" s="46">
        <v>1.1837236E7</v>
      </c>
      <c r="E82" s="31">
        <v>-4383.0</v>
      </c>
      <c r="F82" s="32">
        <v>-3.701351985737761E-4</v>
      </c>
      <c r="G82" s="38">
        <v>0.00141</v>
      </c>
      <c r="H82" s="38">
        <v>0.1071</v>
      </c>
      <c r="I82" s="31">
        <v>133376.0</v>
      </c>
      <c r="J82" s="31">
        <v>16672.0</v>
      </c>
      <c r="K82" s="31">
        <v>118025.0</v>
      </c>
      <c r="L82" s="31">
        <v>1150.0</v>
      </c>
      <c r="M82" s="31">
        <v>8146.0</v>
      </c>
      <c r="N82" s="31">
        <v>6055.0</v>
      </c>
      <c r="O82" s="33">
        <v>8.0</v>
      </c>
      <c r="P82" s="33"/>
      <c r="Q82" s="33"/>
    </row>
    <row r="83">
      <c r="A83" s="30" t="s">
        <v>65</v>
      </c>
      <c r="B83" s="30">
        <v>27.0</v>
      </c>
      <c r="C83" s="31">
        <v>3072386.0</v>
      </c>
      <c r="D83" s="46">
        <v>2197323.0</v>
      </c>
      <c r="E83" s="31">
        <v>-1473.0</v>
      </c>
      <c r="F83" s="32">
        <v>-6.699120791560472E-4</v>
      </c>
      <c r="G83" s="38">
        <v>0.01675</v>
      </c>
      <c r="H83" s="38">
        <v>0.0936</v>
      </c>
      <c r="I83" s="31">
        <v>331318.0</v>
      </c>
      <c r="J83" s="34">
        <v>36813.111</v>
      </c>
      <c r="K83" s="31">
        <v>322586.0</v>
      </c>
      <c r="L83" s="33">
        <v>421.0</v>
      </c>
      <c r="M83" s="31">
        <v>1613.0</v>
      </c>
      <c r="N83" s="31">
        <v>6698.0</v>
      </c>
      <c r="O83" s="33">
        <v>9.0</v>
      </c>
      <c r="P83" s="33"/>
      <c r="Q83" s="33"/>
    </row>
    <row r="84">
      <c r="A84" s="30" t="s">
        <v>66</v>
      </c>
      <c r="B84" s="30">
        <v>27.0</v>
      </c>
      <c r="C84" s="31">
        <v>1.2272594E7</v>
      </c>
      <c r="D84" s="46">
        <v>861636.0</v>
      </c>
      <c r="E84" s="31">
        <v>36968.0</v>
      </c>
      <c r="F84" s="32">
        <v>0.044827736737693226</v>
      </c>
      <c r="G84" s="38">
        <v>0.43037</v>
      </c>
      <c r="H84" s="38">
        <v>0.11641</v>
      </c>
      <c r="I84" s="31">
        <v>1483289.0</v>
      </c>
      <c r="J84" s="34">
        <v>370822.25</v>
      </c>
      <c r="K84" s="31">
        <v>1331275.0</v>
      </c>
      <c r="L84" s="31">
        <v>18761.0</v>
      </c>
      <c r="M84" s="31">
        <v>69303.0</v>
      </c>
      <c r="N84" s="31">
        <v>63950.0</v>
      </c>
      <c r="O84" s="33">
        <v>4.0</v>
      </c>
      <c r="P84" s="33"/>
      <c r="Q84" s="33"/>
    </row>
    <row r="85">
      <c r="A85" s="30" t="s">
        <v>55</v>
      </c>
      <c r="B85" s="30">
        <v>28.0</v>
      </c>
      <c r="C85" s="31">
        <v>2256851.0</v>
      </c>
      <c r="D85" s="31">
        <v>534739.0</v>
      </c>
      <c r="E85" s="31">
        <v>843.0</v>
      </c>
      <c r="F85" s="32">
        <v>0.0015789591980460613</v>
      </c>
      <c r="G85" s="38">
        <v>0.05623</v>
      </c>
      <c r="H85" s="38">
        <v>0.07024</v>
      </c>
      <c r="I85" s="31">
        <v>150330.0</v>
      </c>
      <c r="J85" s="31">
        <v>30066.0</v>
      </c>
      <c r="K85" s="31">
        <v>146577.0</v>
      </c>
      <c r="L85" s="33">
        <v>782.0</v>
      </c>
      <c r="M85" s="33">
        <v>962.0</v>
      </c>
      <c r="N85" s="31">
        <v>2009.0</v>
      </c>
      <c r="O85" s="33">
        <v>5.0</v>
      </c>
      <c r="P85" s="33"/>
      <c r="Q85" s="33"/>
    </row>
    <row r="86">
      <c r="A86" s="30" t="s">
        <v>56</v>
      </c>
      <c r="B86" s="30">
        <v>28.0</v>
      </c>
      <c r="C86" s="31">
        <v>4139880.0</v>
      </c>
      <c r="D86" s="31">
        <v>2837062.0</v>
      </c>
      <c r="E86" s="31">
        <v>211.0</v>
      </c>
      <c r="F86" s="32">
        <v>7.437824545596508E-5</v>
      </c>
      <c r="G86" s="38">
        <v>0.01704</v>
      </c>
      <c r="H86" s="38">
        <v>0.12419</v>
      </c>
      <c r="I86" s="31">
        <v>531878.0</v>
      </c>
      <c r="J86" s="34">
        <v>48352.545</v>
      </c>
      <c r="K86" s="31">
        <v>510243.0</v>
      </c>
      <c r="L86" s="33">
        <v>913.0</v>
      </c>
      <c r="M86" s="31">
        <v>7518.0</v>
      </c>
      <c r="N86" s="31">
        <v>13204.0</v>
      </c>
      <c r="O86" s="33">
        <v>11.0</v>
      </c>
      <c r="P86" s="33"/>
      <c r="Q86" s="33"/>
    </row>
    <row r="87">
      <c r="A87" s="30" t="s">
        <v>57</v>
      </c>
      <c r="B87" s="30">
        <v>28.0</v>
      </c>
      <c r="C87" s="31">
        <v>431613.0</v>
      </c>
      <c r="D87" s="31">
        <v>593343.0</v>
      </c>
      <c r="E87" s="31">
        <v>1016.0</v>
      </c>
      <c r="F87" s="32">
        <v>0.001715268762018277</v>
      </c>
      <c r="G87" s="38">
        <v>0.1065</v>
      </c>
      <c r="H87" s="38">
        <v>0.14641</v>
      </c>
      <c r="I87" s="31">
        <v>63191.0</v>
      </c>
      <c r="J87" s="31">
        <v>63191.0</v>
      </c>
      <c r="K87" s="31">
        <v>44224.0</v>
      </c>
      <c r="L87" s="33">
        <v>171.0</v>
      </c>
      <c r="M87" s="31">
        <v>3124.0</v>
      </c>
      <c r="N87" s="31">
        <v>15672.0</v>
      </c>
      <c r="O87" s="33">
        <v>1.0</v>
      </c>
      <c r="P87" s="33"/>
      <c r="Q87" s="33"/>
    </row>
    <row r="88">
      <c r="A88" s="30" t="s">
        <v>58</v>
      </c>
      <c r="B88" s="30">
        <v>28.0</v>
      </c>
      <c r="C88" s="31">
        <v>7480594.0</v>
      </c>
      <c r="D88" s="31">
        <v>2961686.0</v>
      </c>
      <c r="E88" s="31">
        <v>5226.0</v>
      </c>
      <c r="F88" s="32">
        <v>0.0017676545598452203</v>
      </c>
      <c r="G88" s="38">
        <v>0.07818</v>
      </c>
      <c r="H88" s="38">
        <v>0.10942</v>
      </c>
      <c r="I88" s="31">
        <v>463102.0</v>
      </c>
      <c r="J88" s="31">
        <v>231551.0</v>
      </c>
      <c r="K88" s="31">
        <v>417621.0</v>
      </c>
      <c r="L88" s="31">
        <v>2263.0</v>
      </c>
      <c r="M88" s="31">
        <v>25804.0</v>
      </c>
      <c r="N88" s="31">
        <v>17414.0</v>
      </c>
      <c r="O88" s="33">
        <v>2.0</v>
      </c>
      <c r="P88" s="33"/>
      <c r="Q88" s="33"/>
    </row>
    <row r="89">
      <c r="A89" s="30" t="s">
        <v>59</v>
      </c>
      <c r="B89" s="30">
        <v>28.0</v>
      </c>
      <c r="C89" s="31">
        <v>501462.0</v>
      </c>
      <c r="D89" s="31">
        <v>452428.0</v>
      </c>
      <c r="E89" s="31">
        <v>163.0</v>
      </c>
      <c r="F89" s="32">
        <v>3.604081677777409E-4</v>
      </c>
      <c r="G89" s="38">
        <v>0.04582</v>
      </c>
      <c r="H89" s="38">
        <v>0.09997</v>
      </c>
      <c r="I89" s="31">
        <v>62186.0</v>
      </c>
      <c r="J89" s="34">
        <v>20728.667</v>
      </c>
      <c r="K89" s="31">
        <v>55397.0</v>
      </c>
      <c r="L89" s="33">
        <v>224.0</v>
      </c>
      <c r="M89" s="31">
        <v>4851.0</v>
      </c>
      <c r="N89" s="31">
        <v>1714.0</v>
      </c>
      <c r="O89" s="33">
        <v>3.0</v>
      </c>
      <c r="P89" s="33"/>
      <c r="Q89" s="33"/>
    </row>
    <row r="90">
      <c r="A90" s="30" t="s">
        <v>61</v>
      </c>
      <c r="B90" s="30">
        <v>28.0</v>
      </c>
      <c r="C90" s="31">
        <v>2235909.0</v>
      </c>
      <c r="D90" s="31">
        <v>8499430.0</v>
      </c>
      <c r="E90" s="31">
        <v>-1281.0</v>
      </c>
      <c r="F90" s="32">
        <v>-1.5069327730351026E-4</v>
      </c>
      <c r="G90" s="38">
        <v>0.0197</v>
      </c>
      <c r="H90" s="38">
        <v>0.15909</v>
      </c>
      <c r="I90" s="31">
        <v>334853.0</v>
      </c>
      <c r="J90" s="34">
        <v>167426.5</v>
      </c>
      <c r="K90" s="31">
        <v>305807.0</v>
      </c>
      <c r="L90" s="31">
        <v>1548.0</v>
      </c>
      <c r="M90" s="31">
        <v>8865.0</v>
      </c>
      <c r="N90" s="31">
        <v>18633.0</v>
      </c>
      <c r="O90" s="33">
        <v>2.0</v>
      </c>
      <c r="P90" s="33"/>
      <c r="Q90" s="33"/>
    </row>
    <row r="91">
      <c r="A91" s="30" t="s">
        <v>62</v>
      </c>
      <c r="B91" s="30">
        <v>28.0</v>
      </c>
      <c r="C91" s="31">
        <v>753389.0</v>
      </c>
      <c r="D91" s="31">
        <v>453674.0</v>
      </c>
      <c r="E91" s="31">
        <v>5866.0</v>
      </c>
      <c r="F91" s="32">
        <v>0.013099364013148491</v>
      </c>
      <c r="G91" s="38">
        <v>0.09266</v>
      </c>
      <c r="H91" s="38">
        <v>0.16539</v>
      </c>
      <c r="I91" s="31">
        <v>126109.0</v>
      </c>
      <c r="J91" s="34">
        <v>42036.333</v>
      </c>
      <c r="K91" s="31">
        <v>115827.0</v>
      </c>
      <c r="L91" s="33">
        <v>433.0</v>
      </c>
      <c r="M91" s="31">
        <v>3871.0</v>
      </c>
      <c r="N91" s="31">
        <v>5978.0</v>
      </c>
      <c r="O91" s="33">
        <v>3.0</v>
      </c>
      <c r="P91" s="33"/>
      <c r="Q91" s="33"/>
    </row>
    <row r="92">
      <c r="A92" s="30" t="s">
        <v>64</v>
      </c>
      <c r="B92" s="30">
        <v>28.0</v>
      </c>
      <c r="C92" s="31">
        <v>5619546.0</v>
      </c>
      <c r="D92" s="31">
        <v>1.183655E7</v>
      </c>
      <c r="E92" s="31">
        <v>-686.0</v>
      </c>
      <c r="F92" s="32">
        <v>-5.795271801626664E-5</v>
      </c>
      <c r="G92" s="38">
        <v>0.01119</v>
      </c>
      <c r="H92" s="38">
        <v>0.12562</v>
      </c>
      <c r="I92" s="31">
        <v>794830.0</v>
      </c>
      <c r="J92" s="34">
        <v>132471.667</v>
      </c>
      <c r="K92" s="31">
        <v>689941.0</v>
      </c>
      <c r="L92" s="31">
        <v>3626.0</v>
      </c>
      <c r="M92" s="31">
        <v>65733.0</v>
      </c>
      <c r="N92" s="31">
        <v>35530.0</v>
      </c>
      <c r="O92" s="33">
        <v>6.0</v>
      </c>
      <c r="P92" s="33"/>
      <c r="Q92" s="33"/>
    </row>
    <row r="93">
      <c r="A93" s="30" t="s">
        <v>65</v>
      </c>
      <c r="B93" s="30">
        <v>28.0</v>
      </c>
      <c r="C93" s="31">
        <v>1147128.0</v>
      </c>
      <c r="D93" s="31">
        <v>2196475.0</v>
      </c>
      <c r="E93" s="31">
        <v>-848.0</v>
      </c>
      <c r="F93" s="32">
        <v>-3.8592414497094877E-4</v>
      </c>
      <c r="G93" s="38">
        <v>0.01565</v>
      </c>
      <c r="H93" s="38">
        <v>0.07955</v>
      </c>
      <c r="I93" s="31">
        <v>103135.0</v>
      </c>
      <c r="J93" s="34">
        <v>34378.333</v>
      </c>
      <c r="K93" s="31">
        <v>92571.0</v>
      </c>
      <c r="L93" s="33">
        <v>140.0</v>
      </c>
      <c r="M93" s="31">
        <v>8116.0</v>
      </c>
      <c r="N93" s="31">
        <v>2308.0</v>
      </c>
      <c r="O93" s="33">
        <v>3.0</v>
      </c>
      <c r="P93" s="33"/>
      <c r="Q93" s="33"/>
      <c r="R93" s="33"/>
      <c r="S93" s="33"/>
    </row>
    <row r="94">
      <c r="A94" s="30" t="s">
        <v>66</v>
      </c>
      <c r="B94" s="30">
        <v>28.0</v>
      </c>
      <c r="C94" s="31">
        <v>1963616.0</v>
      </c>
      <c r="D94" s="31">
        <v>873548.0</v>
      </c>
      <c r="E94" s="31">
        <v>11912.0</v>
      </c>
      <c r="F94" s="32">
        <v>0.013824863399393712</v>
      </c>
      <c r="G94" s="38">
        <v>0.14681</v>
      </c>
      <c r="H94" s="38">
        <v>0.11599</v>
      </c>
      <c r="I94" s="31">
        <v>256489.0</v>
      </c>
      <c r="J94" s="34">
        <v>128244.5</v>
      </c>
      <c r="K94" s="31">
        <v>233011.0</v>
      </c>
      <c r="L94" s="31">
        <v>2677.0</v>
      </c>
      <c r="M94" s="31">
        <v>11830.0</v>
      </c>
      <c r="N94" s="31">
        <v>8971.0</v>
      </c>
      <c r="O94" s="33">
        <v>2.0</v>
      </c>
      <c r="P94" s="33"/>
      <c r="Q94" s="33"/>
      <c r="R94" s="33"/>
      <c r="S94" s="33"/>
    </row>
    <row r="95">
      <c r="A95" s="47" t="s">
        <v>55</v>
      </c>
      <c r="B95" s="30">
        <v>29.0</v>
      </c>
      <c r="C95" s="31">
        <v>258945.0</v>
      </c>
      <c r="D95" s="31">
        <v>535243.0</v>
      </c>
      <c r="E95" s="31">
        <v>504.0</v>
      </c>
      <c r="F95" s="32">
        <v>9.425158815796117E-4</v>
      </c>
      <c r="G95" s="38">
        <v>0.01135</v>
      </c>
      <c r="H95" s="38">
        <v>0.04834</v>
      </c>
      <c r="I95" s="31">
        <v>12145.0</v>
      </c>
      <c r="J95" s="34">
        <v>6072.5</v>
      </c>
      <c r="K95" s="31">
        <v>11677.0</v>
      </c>
      <c r="L95" s="33">
        <v>166.0</v>
      </c>
      <c r="M95" s="33">
        <v>111.0</v>
      </c>
      <c r="N95" s="33">
        <v>191.0</v>
      </c>
      <c r="O95" s="33">
        <v>2.0</v>
      </c>
      <c r="Q95" s="33"/>
      <c r="R95" s="33"/>
      <c r="S95" s="33"/>
    </row>
    <row r="96">
      <c r="A96" s="47" t="s">
        <v>56</v>
      </c>
      <c r="B96" s="30">
        <v>29.0</v>
      </c>
      <c r="C96" s="31">
        <v>3953452.0</v>
      </c>
      <c r="D96" s="31">
        <v>2834868.0</v>
      </c>
      <c r="E96" s="31">
        <v>-2194.0</v>
      </c>
      <c r="F96" s="32">
        <v>-7.733352320111439E-4</v>
      </c>
      <c r="G96" s="38">
        <v>0.0196</v>
      </c>
      <c r="H96" s="38">
        <v>0.15386</v>
      </c>
      <c r="I96" s="31">
        <v>666859.0</v>
      </c>
      <c r="J96" s="34">
        <v>55571.583</v>
      </c>
      <c r="K96" s="31">
        <v>601986.0</v>
      </c>
      <c r="L96" s="33">
        <v>435.0</v>
      </c>
      <c r="M96" s="31">
        <v>41492.0</v>
      </c>
      <c r="N96" s="31">
        <v>22946.0</v>
      </c>
      <c r="O96" s="33">
        <v>12.0</v>
      </c>
      <c r="Q96" s="33"/>
      <c r="R96" s="33"/>
      <c r="S96" s="33"/>
    </row>
    <row r="97">
      <c r="A97" s="47" t="s">
        <v>57</v>
      </c>
      <c r="B97" s="30">
        <v>29.0</v>
      </c>
      <c r="C97" s="33">
        <v>0.0</v>
      </c>
      <c r="D97" s="31">
        <v>593507.0</v>
      </c>
      <c r="E97" s="31">
        <v>164.0</v>
      </c>
      <c r="F97" s="32">
        <v>2.7639999123609785E-4</v>
      </c>
      <c r="G97" s="48">
        <v>0.0</v>
      </c>
      <c r="H97" s="48">
        <v>0.0</v>
      </c>
      <c r="I97" s="33">
        <v>0.0</v>
      </c>
      <c r="J97" s="33">
        <v>0.0</v>
      </c>
      <c r="K97" s="33">
        <v>0.0</v>
      </c>
      <c r="L97" s="33">
        <v>0.0</v>
      </c>
      <c r="M97" s="33">
        <v>0.0</v>
      </c>
      <c r="N97" s="33">
        <v>0.0</v>
      </c>
      <c r="O97" s="33">
        <v>0.0</v>
      </c>
      <c r="Q97" s="33"/>
      <c r="R97" s="33"/>
      <c r="S97" s="33"/>
    </row>
    <row r="98">
      <c r="A98" s="47" t="s">
        <v>58</v>
      </c>
      <c r="B98" s="30">
        <v>29.0</v>
      </c>
      <c r="C98" s="31">
        <v>634975.0</v>
      </c>
      <c r="D98" s="31">
        <v>2964817.0</v>
      </c>
      <c r="E98" s="31">
        <v>3131.0</v>
      </c>
      <c r="F98" s="32">
        <v>0.001057168113027512</v>
      </c>
      <c r="G98" s="38">
        <v>0.01613</v>
      </c>
      <c r="H98" s="38">
        <v>0.07532</v>
      </c>
      <c r="I98" s="31">
        <v>47824.0</v>
      </c>
      <c r="J98" s="31">
        <v>47824.0</v>
      </c>
      <c r="K98" s="31">
        <v>44580.0</v>
      </c>
      <c r="L98" s="33">
        <v>292.0</v>
      </c>
      <c r="M98" s="31">
        <v>1215.0</v>
      </c>
      <c r="N98" s="31">
        <v>1737.0</v>
      </c>
      <c r="O98" s="33">
        <v>1.0</v>
      </c>
      <c r="Q98" s="33"/>
      <c r="R98" s="33"/>
      <c r="S98" s="33"/>
    </row>
    <row r="99">
      <c r="A99" s="47" t="s">
        <v>59</v>
      </c>
      <c r="B99" s="30">
        <v>29.0</v>
      </c>
      <c r="C99" s="31">
        <v>328098.0</v>
      </c>
      <c r="D99" s="31">
        <v>452243.0</v>
      </c>
      <c r="E99" s="31">
        <v>-185.0</v>
      </c>
      <c r="F99" s="32">
        <v>-4.089048423174516E-4</v>
      </c>
      <c r="G99" s="38">
        <v>0.06085</v>
      </c>
      <c r="H99" s="38">
        <v>0.08388</v>
      </c>
      <c r="I99" s="31">
        <v>27520.0</v>
      </c>
      <c r="J99" s="31">
        <v>27520.0</v>
      </c>
      <c r="K99" s="31">
        <v>24464.0</v>
      </c>
      <c r="L99" s="33">
        <v>423.0</v>
      </c>
      <c r="M99" s="31">
        <v>1864.0</v>
      </c>
      <c r="N99" s="33">
        <v>769.0</v>
      </c>
      <c r="O99" s="33">
        <v>1.0</v>
      </c>
      <c r="Q99" s="33"/>
      <c r="R99" s="33"/>
      <c r="S99" s="33"/>
    </row>
    <row r="100">
      <c r="A100" s="47" t="s">
        <v>61</v>
      </c>
      <c r="B100" s="30">
        <v>29.0</v>
      </c>
      <c r="C100" s="31">
        <v>3269668.0</v>
      </c>
      <c r="D100" s="31">
        <v>8498766.0</v>
      </c>
      <c r="E100" s="31">
        <v>-664.0</v>
      </c>
      <c r="F100" s="32">
        <v>-7.812288588764187E-5</v>
      </c>
      <c r="G100" s="38">
        <v>0.02113</v>
      </c>
      <c r="H100" s="38">
        <v>0.1757</v>
      </c>
      <c r="I100" s="31">
        <v>538764.0</v>
      </c>
      <c r="J100" s="31">
        <v>179588.0</v>
      </c>
      <c r="K100" s="31">
        <v>510323.0</v>
      </c>
      <c r="L100" s="31">
        <v>2527.0</v>
      </c>
      <c r="M100" s="31">
        <v>6320.0</v>
      </c>
      <c r="N100" s="31">
        <v>19594.0</v>
      </c>
      <c r="O100" s="33">
        <v>3.0</v>
      </c>
      <c r="Q100" s="33"/>
      <c r="R100" s="33"/>
      <c r="S100" s="33"/>
    </row>
    <row r="101">
      <c r="A101" s="47" t="s">
        <v>62</v>
      </c>
      <c r="B101" s="30">
        <v>29.0</v>
      </c>
      <c r="C101" s="31">
        <v>799042.0</v>
      </c>
      <c r="D101" s="31">
        <v>456097.0</v>
      </c>
      <c r="E101" s="31">
        <v>2423.0</v>
      </c>
      <c r="F101" s="32">
        <v>0.005340839457407742</v>
      </c>
      <c r="G101" s="38">
        <v>0.063</v>
      </c>
      <c r="H101" s="38">
        <v>0.17579</v>
      </c>
      <c r="I101" s="31">
        <v>143677.0</v>
      </c>
      <c r="J101" s="34">
        <v>28735.4</v>
      </c>
      <c r="K101" s="31">
        <v>139401.0</v>
      </c>
      <c r="L101" s="33">
        <v>425.0</v>
      </c>
      <c r="M101" s="31">
        <v>1022.0</v>
      </c>
      <c r="N101" s="31">
        <v>2829.0</v>
      </c>
      <c r="O101" s="33">
        <v>5.0</v>
      </c>
      <c r="P101" s="33"/>
      <c r="Q101" s="33"/>
      <c r="R101" s="33"/>
      <c r="S101" s="33"/>
    </row>
    <row r="102">
      <c r="A102" s="47" t="s">
        <v>64</v>
      </c>
      <c r="B102" s="30">
        <v>29.0</v>
      </c>
      <c r="C102" s="31">
        <v>7619746.0</v>
      </c>
      <c r="D102" s="31">
        <v>1.184223E7</v>
      </c>
      <c r="E102" s="31">
        <v>5680.0</v>
      </c>
      <c r="F102" s="32">
        <v>4.798695565853226E-4</v>
      </c>
      <c r="G102" s="38">
        <v>0.01067</v>
      </c>
      <c r="H102" s="38">
        <v>0.11218</v>
      </c>
      <c r="I102" s="31">
        <v>1011232.0</v>
      </c>
      <c r="J102" s="31">
        <v>126404.0</v>
      </c>
      <c r="K102" s="31">
        <v>894581.0</v>
      </c>
      <c r="L102" s="31">
        <v>4393.0</v>
      </c>
      <c r="M102" s="31">
        <v>64159.0</v>
      </c>
      <c r="N102" s="31">
        <v>48099.0</v>
      </c>
      <c r="O102" s="33">
        <v>8.0</v>
      </c>
      <c r="Q102" s="33"/>
      <c r="R102" s="33"/>
      <c r="S102" s="33"/>
    </row>
    <row r="103">
      <c r="A103" s="47" t="s">
        <v>65</v>
      </c>
      <c r="B103" s="30">
        <v>29.0</v>
      </c>
      <c r="C103" s="31">
        <v>2945110.0</v>
      </c>
      <c r="D103" s="31">
        <v>2195812.0</v>
      </c>
      <c r="E103" s="31">
        <v>-663.0</v>
      </c>
      <c r="F103" s="32">
        <v>-3.0184727802501734E-4</v>
      </c>
      <c r="G103" s="38">
        <v>0.01266</v>
      </c>
      <c r="H103" s="38">
        <v>0.08546</v>
      </c>
      <c r="I103" s="31">
        <v>250241.0</v>
      </c>
      <c r="J103" s="34">
        <v>27804.556</v>
      </c>
      <c r="K103" s="31">
        <v>238160.0</v>
      </c>
      <c r="L103" s="33">
        <v>842.0</v>
      </c>
      <c r="M103" s="31">
        <v>3047.0</v>
      </c>
      <c r="N103" s="31">
        <v>8192.0</v>
      </c>
      <c r="O103" s="33">
        <v>9.0</v>
      </c>
      <c r="Q103" s="33"/>
      <c r="R103" s="33"/>
      <c r="S103" s="33"/>
    </row>
    <row r="104">
      <c r="A104" s="47" t="s">
        <v>66</v>
      </c>
      <c r="B104" s="30">
        <v>29.0</v>
      </c>
      <c r="C104" s="31">
        <v>1666616.0</v>
      </c>
      <c r="D104" s="31">
        <v>876384.0</v>
      </c>
      <c r="E104" s="31">
        <v>2836.0</v>
      </c>
      <c r="F104" s="32">
        <v>0.0032465302421847454</v>
      </c>
      <c r="G104" s="38">
        <v>0.06905</v>
      </c>
      <c r="H104" s="38">
        <v>0.10013</v>
      </c>
      <c r="I104" s="31">
        <v>181534.0</v>
      </c>
      <c r="J104" s="34">
        <v>60511.333</v>
      </c>
      <c r="K104" s="31">
        <v>160253.0</v>
      </c>
      <c r="L104" s="31">
        <v>4470.0</v>
      </c>
      <c r="M104" s="31">
        <v>11571.0</v>
      </c>
      <c r="N104" s="31">
        <v>5240.0</v>
      </c>
      <c r="O104" s="33">
        <v>3.0</v>
      </c>
      <c r="Q104" s="33"/>
      <c r="R104" s="33"/>
      <c r="S104" s="33"/>
    </row>
    <row r="105">
      <c r="A105" s="47" t="s">
        <v>55</v>
      </c>
      <c r="B105" s="30">
        <v>30.0</v>
      </c>
      <c r="C105" s="31">
        <v>766869.0</v>
      </c>
      <c r="D105" s="31">
        <v>535511.0</v>
      </c>
      <c r="E105" s="31">
        <v>268.0</v>
      </c>
      <c r="F105" s="32">
        <v>5.007071554415471E-4</v>
      </c>
      <c r="G105" s="38">
        <v>0.01269</v>
      </c>
      <c r="H105" s="38">
        <v>0.05305</v>
      </c>
      <c r="I105" s="31">
        <v>47588.0</v>
      </c>
      <c r="J105" s="34">
        <v>6798.286</v>
      </c>
      <c r="K105" s="31">
        <v>45846.0</v>
      </c>
      <c r="L105" s="33">
        <v>459.0</v>
      </c>
      <c r="M105" s="33">
        <v>635.0</v>
      </c>
      <c r="N105" s="33">
        <v>648.0</v>
      </c>
      <c r="O105" s="33">
        <v>7.0</v>
      </c>
      <c r="Q105" s="33"/>
      <c r="R105" s="33"/>
      <c r="S105" s="33"/>
    </row>
    <row r="106">
      <c r="A106" s="47" t="s">
        <v>56</v>
      </c>
      <c r="B106" s="30">
        <v>30.0</v>
      </c>
      <c r="C106" s="31">
        <v>2906965.0</v>
      </c>
      <c r="D106" s="31">
        <v>2833345.0</v>
      </c>
      <c r="E106" s="31">
        <v>-1523.0</v>
      </c>
      <c r="F106" s="32">
        <v>-5.372384181556249E-4</v>
      </c>
      <c r="G106" s="38">
        <v>0.01597</v>
      </c>
      <c r="H106" s="38">
        <v>0.14498</v>
      </c>
      <c r="I106" s="31">
        <v>407336.0</v>
      </c>
      <c r="J106" s="34">
        <v>45259.556</v>
      </c>
      <c r="K106" s="31">
        <v>387613.0</v>
      </c>
      <c r="L106" s="33">
        <v>818.0</v>
      </c>
      <c r="M106" s="31">
        <v>3784.0</v>
      </c>
      <c r="N106" s="31">
        <v>15121.0</v>
      </c>
      <c r="O106" s="33">
        <v>9.0</v>
      </c>
      <c r="Q106" s="33"/>
      <c r="R106" s="33"/>
      <c r="S106" s="33"/>
    </row>
    <row r="107">
      <c r="A107" s="47" t="s">
        <v>57</v>
      </c>
      <c r="B107" s="30">
        <v>30.0</v>
      </c>
      <c r="C107" s="31">
        <v>237196.0</v>
      </c>
      <c r="D107" s="31">
        <v>593865.0</v>
      </c>
      <c r="E107" s="31">
        <v>358.0</v>
      </c>
      <c r="F107" s="32">
        <v>6.031942335979188E-4</v>
      </c>
      <c r="G107" s="38">
        <v>0.06741</v>
      </c>
      <c r="H107" s="38">
        <v>0.16877</v>
      </c>
      <c r="I107" s="31">
        <v>40031.0</v>
      </c>
      <c r="J107" s="31">
        <v>40031.0</v>
      </c>
      <c r="K107" s="31">
        <v>35527.0</v>
      </c>
      <c r="L107" s="33">
        <v>363.0</v>
      </c>
      <c r="M107" s="33">
        <v>817.0</v>
      </c>
      <c r="N107" s="31">
        <v>3324.0</v>
      </c>
      <c r="O107" s="33">
        <v>1.0</v>
      </c>
      <c r="Q107" s="33"/>
      <c r="R107" s="33"/>
      <c r="S107" s="33"/>
    </row>
    <row r="108">
      <c r="A108" s="47" t="s">
        <v>58</v>
      </c>
      <c r="B108" s="30">
        <v>30.0</v>
      </c>
      <c r="C108" s="31">
        <v>1235297.0</v>
      </c>
      <c r="D108" s="31">
        <v>2965660.0</v>
      </c>
      <c r="E108" s="31">
        <v>843.0</v>
      </c>
      <c r="F108" s="32">
        <v>2.843345811900026E-4</v>
      </c>
      <c r="G108" s="38">
        <v>0.03874</v>
      </c>
      <c r="H108" s="38">
        <v>0.18003</v>
      </c>
      <c r="I108" s="31">
        <v>229790.0</v>
      </c>
      <c r="J108" s="31">
        <v>114895.0</v>
      </c>
      <c r="K108" s="31">
        <v>193059.0</v>
      </c>
      <c r="L108" s="31">
        <v>1463.0</v>
      </c>
      <c r="M108" s="31">
        <v>27368.0</v>
      </c>
      <c r="N108" s="31">
        <v>7900.0</v>
      </c>
      <c r="O108" s="33">
        <v>2.0</v>
      </c>
      <c r="Q108" s="33"/>
      <c r="R108" s="33"/>
      <c r="S108" s="33"/>
    </row>
    <row r="109">
      <c r="A109" s="47" t="s">
        <v>59</v>
      </c>
      <c r="B109" s="30">
        <v>30.0</v>
      </c>
      <c r="C109" s="33">
        <v>0.0</v>
      </c>
      <c r="D109" s="31">
        <v>452032.0</v>
      </c>
      <c r="E109" s="31">
        <v>-211.0</v>
      </c>
      <c r="F109" s="32">
        <v>-4.6656332989123106E-4</v>
      </c>
      <c r="G109" s="48">
        <v>0.0</v>
      </c>
      <c r="H109" s="48">
        <v>0.0</v>
      </c>
      <c r="I109" s="33">
        <v>0.0</v>
      </c>
      <c r="J109" s="33">
        <v>0.0</v>
      </c>
      <c r="K109" s="33">
        <v>0.0</v>
      </c>
      <c r="L109" s="33">
        <v>0.0</v>
      </c>
      <c r="M109" s="33">
        <v>0.0</v>
      </c>
      <c r="N109" s="33">
        <v>0.0</v>
      </c>
      <c r="O109" s="33">
        <v>0.0</v>
      </c>
      <c r="Q109" s="33"/>
      <c r="R109" s="33"/>
      <c r="S109" s="33"/>
    </row>
    <row r="110">
      <c r="A110" s="47" t="s">
        <v>61</v>
      </c>
      <c r="B110" s="30">
        <v>30.0</v>
      </c>
      <c r="C110" s="31">
        <v>2060116.0</v>
      </c>
      <c r="D110" s="31">
        <v>8497701.0</v>
      </c>
      <c r="E110" s="31">
        <v>-1065.0</v>
      </c>
      <c r="F110" s="32">
        <v>-1.2531231004595254E-4</v>
      </c>
      <c r="G110" s="38">
        <v>0.01876</v>
      </c>
      <c r="H110" s="38">
        <v>0.22639</v>
      </c>
      <c r="I110" s="31">
        <v>478290.0</v>
      </c>
      <c r="J110" s="31">
        <v>159430.0</v>
      </c>
      <c r="K110" s="31">
        <v>388696.0</v>
      </c>
      <c r="L110" s="31">
        <v>1040.0</v>
      </c>
      <c r="M110" s="31">
        <v>21184.0</v>
      </c>
      <c r="N110" s="31">
        <v>67370.0</v>
      </c>
      <c r="O110" s="33">
        <v>3.0</v>
      </c>
      <c r="Q110" s="33"/>
      <c r="R110" s="33"/>
      <c r="S110" s="33"/>
    </row>
    <row r="111">
      <c r="A111" s="47" t="s">
        <v>62</v>
      </c>
      <c r="B111" s="30">
        <v>30.0</v>
      </c>
      <c r="C111" s="31">
        <v>9618254.0</v>
      </c>
      <c r="D111" s="31">
        <v>460061.0</v>
      </c>
      <c r="E111" s="31">
        <v>3964.0</v>
      </c>
      <c r="F111" s="32">
        <v>0.008691133684282072</v>
      </c>
      <c r="G111" s="38">
        <v>0.12223</v>
      </c>
      <c r="H111" s="38">
        <v>0.11397</v>
      </c>
      <c r="I111" s="31">
        <v>224929.0</v>
      </c>
      <c r="J111" s="34">
        <v>56232.25</v>
      </c>
      <c r="K111" s="31">
        <v>213969.0</v>
      </c>
      <c r="L111" s="33">
        <v>982.0</v>
      </c>
      <c r="M111" s="31">
        <v>2384.0</v>
      </c>
      <c r="N111" s="31">
        <v>7594.0</v>
      </c>
      <c r="O111" s="33">
        <v>4.0</v>
      </c>
      <c r="Q111" s="33"/>
      <c r="R111" s="33"/>
      <c r="S111" s="33"/>
    </row>
    <row r="112">
      <c r="A112" s="47" t="s">
        <v>64</v>
      </c>
      <c r="B112" s="30">
        <v>30.0</v>
      </c>
      <c r="C112" s="31">
        <v>1.2986216E7</v>
      </c>
      <c r="D112" s="31">
        <v>1.1852501E7</v>
      </c>
      <c r="E112" s="31">
        <v>10271.0</v>
      </c>
      <c r="F112" s="32">
        <v>8.673197531208227E-4</v>
      </c>
      <c r="G112" s="38">
        <v>0.03687</v>
      </c>
      <c r="H112" s="38">
        <v>0.12968</v>
      </c>
      <c r="I112" s="31">
        <v>2622194.0</v>
      </c>
      <c r="J112" s="34">
        <v>437032.333</v>
      </c>
      <c r="K112" s="31">
        <v>1926216.0</v>
      </c>
      <c r="L112" s="31">
        <v>16114.0</v>
      </c>
      <c r="M112" s="31">
        <v>565847.0</v>
      </c>
      <c r="N112" s="31">
        <v>114017.0</v>
      </c>
      <c r="O112" s="33">
        <v>6.0</v>
      </c>
      <c r="P112" s="33"/>
      <c r="Q112" s="33"/>
      <c r="R112" s="33"/>
      <c r="S112" s="33"/>
    </row>
    <row r="113">
      <c r="A113" s="47" t="s">
        <v>65</v>
      </c>
      <c r="B113" s="30">
        <v>30.0</v>
      </c>
      <c r="C113" s="31">
        <v>3816251.0</v>
      </c>
      <c r="D113" s="31">
        <v>2195285.0</v>
      </c>
      <c r="E113" s="31">
        <v>-527.0</v>
      </c>
      <c r="F113" s="32">
        <v>-2.4000233171145798E-4</v>
      </c>
      <c r="G113" s="38">
        <v>0.02097</v>
      </c>
      <c r="H113" s="38">
        <v>0.07873</v>
      </c>
      <c r="I113" s="31">
        <v>368272.0</v>
      </c>
      <c r="J113" s="31">
        <v>46034.0</v>
      </c>
      <c r="K113" s="31">
        <v>358583.0</v>
      </c>
      <c r="L113" s="31">
        <v>2148.0</v>
      </c>
      <c r="M113" s="31">
        <v>1264.0</v>
      </c>
      <c r="N113" s="31">
        <v>6277.0</v>
      </c>
      <c r="O113" s="33">
        <v>8.0</v>
      </c>
      <c r="P113" s="33"/>
      <c r="Q113" s="33"/>
      <c r="R113" s="33"/>
      <c r="S113" s="33"/>
    </row>
    <row r="114">
      <c r="A114" s="47" t="s">
        <v>66</v>
      </c>
      <c r="B114" s="30">
        <v>30.0</v>
      </c>
      <c r="C114" s="31">
        <v>61938.0</v>
      </c>
      <c r="D114" s="31">
        <v>876666.0</v>
      </c>
      <c r="E114" s="31">
        <v>282.0</v>
      </c>
      <c r="F114" s="32">
        <v>3.2177675539489536E-4</v>
      </c>
      <c r="G114" s="38">
        <v>0.00538</v>
      </c>
      <c r="H114" s="38">
        <v>0.14884</v>
      </c>
      <c r="I114" s="31">
        <v>9427.0</v>
      </c>
      <c r="J114" s="34">
        <v>4713.5</v>
      </c>
      <c r="K114" s="31">
        <v>8902.0</v>
      </c>
      <c r="L114" s="33">
        <v>173.0</v>
      </c>
      <c r="M114" s="33">
        <v>127.0</v>
      </c>
      <c r="N114" s="33">
        <v>225.0</v>
      </c>
      <c r="O114" s="33">
        <v>2.0</v>
      </c>
      <c r="P114" s="33"/>
      <c r="Q114" s="33"/>
      <c r="R114" s="33"/>
      <c r="S114" s="33"/>
    </row>
    <row r="115">
      <c r="A115" s="47" t="s">
        <v>55</v>
      </c>
      <c r="B115" s="30">
        <v>30.0</v>
      </c>
      <c r="C115" s="31">
        <v>183667.0</v>
      </c>
      <c r="D115" s="31">
        <v>535510.0</v>
      </c>
      <c r="E115" s="31">
        <v>-1.0</v>
      </c>
      <c r="F115" s="32">
        <v>-1.8673752733370557E-6</v>
      </c>
      <c r="G115" s="38">
        <v>0.01748</v>
      </c>
      <c r="H115" s="38">
        <v>0.08464</v>
      </c>
      <c r="I115" s="31">
        <v>18723.0</v>
      </c>
      <c r="J115" s="34">
        <v>9361.5</v>
      </c>
      <c r="K115" s="31">
        <v>14054.0</v>
      </c>
      <c r="L115" s="33">
        <v>63.0</v>
      </c>
      <c r="M115" s="31">
        <v>4158.0</v>
      </c>
      <c r="N115" s="33">
        <v>448.0</v>
      </c>
      <c r="O115" s="33">
        <v>2.0</v>
      </c>
      <c r="P115" s="33"/>
      <c r="Q115" s="33"/>
      <c r="R115" s="33"/>
      <c r="S115" s="33"/>
    </row>
    <row r="116">
      <c r="A116" s="47" t="s">
        <v>56</v>
      </c>
      <c r="B116" s="30">
        <v>31.0</v>
      </c>
      <c r="C116" s="31">
        <v>4964884.0</v>
      </c>
      <c r="D116" s="31">
        <v>2830938.0</v>
      </c>
      <c r="E116" s="31">
        <v>-2407.0</v>
      </c>
      <c r="F116" s="32">
        <v>-8.495259137168259E-4</v>
      </c>
      <c r="G116" s="38">
        <v>0.0177</v>
      </c>
      <c r="H116" s="38">
        <v>0.12205</v>
      </c>
      <c r="I116" s="31">
        <v>551185.0</v>
      </c>
      <c r="J116" s="34">
        <v>50107.727</v>
      </c>
      <c r="K116" s="31">
        <v>537453.0</v>
      </c>
      <c r="L116" s="33">
        <v>760.0</v>
      </c>
      <c r="M116" s="31">
        <v>2790.0</v>
      </c>
      <c r="N116" s="31">
        <v>10182.0</v>
      </c>
      <c r="O116" s="33">
        <v>11.0</v>
      </c>
      <c r="P116" s="33"/>
      <c r="Q116" s="33"/>
      <c r="R116" s="33"/>
      <c r="S116" s="33"/>
    </row>
    <row r="117">
      <c r="A117" s="47" t="s">
        <v>57</v>
      </c>
      <c r="B117" s="30">
        <v>31.0</v>
      </c>
      <c r="C117" s="31">
        <v>1623822.0</v>
      </c>
      <c r="D117" s="31">
        <v>597783.0</v>
      </c>
      <c r="E117" s="31">
        <v>3918.0</v>
      </c>
      <c r="F117" s="32">
        <v>0.006597459018463792</v>
      </c>
      <c r="G117" s="38">
        <v>0.47122</v>
      </c>
      <c r="H117" s="38">
        <v>0.17347</v>
      </c>
      <c r="I117" s="31">
        <v>281686.0</v>
      </c>
      <c r="J117" s="31">
        <v>281686.0</v>
      </c>
      <c r="K117" s="31">
        <v>200804.0</v>
      </c>
      <c r="L117" s="33">
        <v>242.0</v>
      </c>
      <c r="M117" s="31">
        <v>13098.0</v>
      </c>
      <c r="N117" s="31">
        <v>67542.0</v>
      </c>
      <c r="O117" s="33">
        <v>1.0</v>
      </c>
      <c r="P117" s="33"/>
      <c r="Q117" s="33"/>
      <c r="R117" s="33"/>
      <c r="S117" s="33"/>
    </row>
    <row r="118">
      <c r="A118" s="47" t="s">
        <v>58</v>
      </c>
      <c r="B118" s="30">
        <v>31.0</v>
      </c>
      <c r="C118" s="31">
        <v>1012219.0</v>
      </c>
      <c r="D118" s="31">
        <v>2966268.0</v>
      </c>
      <c r="E118" s="31">
        <v>608.0</v>
      </c>
      <c r="F118" s="32">
        <v>2.0501338656487932E-4</v>
      </c>
      <c r="G118" s="38">
        <v>0.06086</v>
      </c>
      <c r="H118" s="38">
        <v>0.17836</v>
      </c>
      <c r="I118" s="31">
        <v>180541.0</v>
      </c>
      <c r="J118" s="31">
        <v>180541.0</v>
      </c>
      <c r="K118" s="31">
        <v>158263.0</v>
      </c>
      <c r="L118" s="31">
        <v>1490.0</v>
      </c>
      <c r="M118" s="31">
        <v>13756.0</v>
      </c>
      <c r="N118" s="31">
        <v>7032.0</v>
      </c>
      <c r="O118" s="33">
        <v>1.0</v>
      </c>
      <c r="P118" s="33"/>
      <c r="Q118" s="33"/>
      <c r="R118" s="33"/>
      <c r="S118" s="33"/>
    </row>
    <row r="119">
      <c r="A119" s="47" t="s">
        <v>59</v>
      </c>
      <c r="B119" s="30">
        <v>31.0</v>
      </c>
      <c r="C119" s="31">
        <v>2211589.0</v>
      </c>
      <c r="D119" s="31">
        <v>456494.0</v>
      </c>
      <c r="E119" s="31">
        <v>4462.0</v>
      </c>
      <c r="F119" s="32">
        <v>0.009870982585303695</v>
      </c>
      <c r="G119" s="38">
        <v>0.38549</v>
      </c>
      <c r="H119" s="38">
        <v>0.14073</v>
      </c>
      <c r="I119" s="31">
        <v>351945.0</v>
      </c>
      <c r="J119" s="34">
        <v>175972.5</v>
      </c>
      <c r="K119" s="31">
        <v>324468.0</v>
      </c>
      <c r="L119" s="31">
        <v>2727.0</v>
      </c>
      <c r="M119" s="31">
        <v>15797.0</v>
      </c>
      <c r="N119" s="31">
        <v>8953.0</v>
      </c>
      <c r="O119" s="33">
        <v>2.0</v>
      </c>
      <c r="P119" s="33"/>
      <c r="Q119" s="33"/>
      <c r="R119" s="33"/>
      <c r="S119" s="33"/>
    </row>
    <row r="120">
      <c r="A120" s="47" t="s">
        <v>61</v>
      </c>
      <c r="B120" s="30">
        <v>31.0</v>
      </c>
      <c r="C120" s="31">
        <v>1756370.0</v>
      </c>
      <c r="D120" s="31">
        <v>8491577.0</v>
      </c>
      <c r="E120" s="31">
        <v>-6124.0</v>
      </c>
      <c r="F120" s="32">
        <v>-7.206655070589092E-4</v>
      </c>
      <c r="G120" s="38">
        <v>0.00687</v>
      </c>
      <c r="H120" s="38">
        <v>0.09264</v>
      </c>
      <c r="I120" s="31">
        <v>175034.0</v>
      </c>
      <c r="J120" s="34">
        <v>58344.667</v>
      </c>
      <c r="K120" s="31">
        <v>170066.0</v>
      </c>
      <c r="L120" s="33">
        <v>867.0</v>
      </c>
      <c r="M120" s="33">
        <v>628.0</v>
      </c>
      <c r="N120" s="31">
        <v>3473.0</v>
      </c>
      <c r="O120" s="33">
        <v>3.0</v>
      </c>
      <c r="P120" s="33"/>
      <c r="Q120" s="33"/>
      <c r="R120" s="33"/>
      <c r="S120" s="33"/>
    </row>
    <row r="121">
      <c r="A121" s="47" t="s">
        <v>62</v>
      </c>
      <c r="B121" s="30">
        <v>31.0</v>
      </c>
      <c r="C121" s="31">
        <v>1794255.0</v>
      </c>
      <c r="D121" s="31">
        <v>481654.0</v>
      </c>
      <c r="E121" s="31">
        <v>21593.0</v>
      </c>
      <c r="F121" s="32">
        <v>0.0469350803480408</v>
      </c>
      <c r="G121" s="38">
        <v>0.50328</v>
      </c>
      <c r="H121" s="38">
        <v>0.1351</v>
      </c>
      <c r="I121" s="31">
        <v>242407.0</v>
      </c>
      <c r="J121" s="31">
        <v>242407.0</v>
      </c>
      <c r="K121" s="31">
        <v>232834.0</v>
      </c>
      <c r="L121" s="33">
        <v>616.0</v>
      </c>
      <c r="M121" s="31">
        <v>1043.0</v>
      </c>
      <c r="N121" s="31">
        <v>7914.0</v>
      </c>
      <c r="O121" s="33">
        <v>1.0</v>
      </c>
      <c r="P121" s="33"/>
      <c r="Q121" s="33"/>
      <c r="R121" s="33"/>
      <c r="S121" s="33"/>
    </row>
    <row r="122">
      <c r="A122" s="47" t="s">
        <v>64</v>
      </c>
      <c r="B122" s="30">
        <v>31.0</v>
      </c>
      <c r="C122" s="31">
        <v>4226782.0</v>
      </c>
      <c r="D122" s="31">
        <v>1.1856291E7</v>
      </c>
      <c r="E122" s="31">
        <v>3790.0</v>
      </c>
      <c r="F122" s="32">
        <v>3.1976373594062553E-4</v>
      </c>
      <c r="G122" s="38">
        <v>0.00582</v>
      </c>
      <c r="H122" s="38">
        <v>0.09748</v>
      </c>
      <c r="I122" s="31">
        <v>413788.0</v>
      </c>
      <c r="J122" s="34">
        <v>68964.667</v>
      </c>
      <c r="K122" s="31">
        <v>341805.0</v>
      </c>
      <c r="L122" s="31">
        <v>4735.0</v>
      </c>
      <c r="M122" s="31">
        <v>50886.0</v>
      </c>
      <c r="N122" s="31">
        <v>16362.0</v>
      </c>
      <c r="O122" s="33">
        <v>6.0</v>
      </c>
      <c r="P122" s="33"/>
      <c r="Q122" s="33"/>
      <c r="R122" s="33"/>
      <c r="S122" s="33"/>
    </row>
    <row r="123">
      <c r="A123" s="47" t="s">
        <v>65</v>
      </c>
      <c r="B123" s="30">
        <v>31.0</v>
      </c>
      <c r="C123" s="31">
        <v>4001782.0</v>
      </c>
      <c r="D123" s="31">
        <v>2195568.0</v>
      </c>
      <c r="E123" s="31">
        <v>283.0</v>
      </c>
      <c r="F123" s="32">
        <v>1.2891264687728472E-4</v>
      </c>
      <c r="G123" s="38">
        <v>0.01535</v>
      </c>
      <c r="H123" s="38">
        <v>0.06355</v>
      </c>
      <c r="I123" s="31">
        <v>269551.0</v>
      </c>
      <c r="J123" s="34">
        <v>33693.875</v>
      </c>
      <c r="K123" s="31">
        <v>259670.0</v>
      </c>
      <c r="L123" s="33">
        <v>712.0</v>
      </c>
      <c r="M123" s="31">
        <v>2730.0</v>
      </c>
      <c r="N123" s="31">
        <v>6439.0</v>
      </c>
      <c r="O123" s="33">
        <v>8.0</v>
      </c>
      <c r="P123" s="33"/>
      <c r="Q123" s="33"/>
      <c r="R123" s="33"/>
      <c r="S123" s="33"/>
    </row>
    <row r="124">
      <c r="A124" s="47" t="s">
        <v>66</v>
      </c>
      <c r="B124" s="30">
        <v>31.0</v>
      </c>
      <c r="C124" s="31">
        <v>4206742.0</v>
      </c>
      <c r="D124" s="31">
        <v>894083.0</v>
      </c>
      <c r="E124" s="31">
        <v>17417.0</v>
      </c>
      <c r="F124" s="32">
        <v>0.019867315488452844</v>
      </c>
      <c r="G124" s="38">
        <v>0.17831</v>
      </c>
      <c r="H124" s="38">
        <v>0.10893</v>
      </c>
      <c r="I124" s="31">
        <v>478268.0</v>
      </c>
      <c r="J124" s="34">
        <v>159422.667</v>
      </c>
      <c r="K124" s="31">
        <v>437383.0</v>
      </c>
      <c r="L124" s="31">
        <v>12112.0</v>
      </c>
      <c r="M124" s="31">
        <v>13854.0</v>
      </c>
      <c r="N124" s="31">
        <v>14919.0</v>
      </c>
      <c r="O124" s="33">
        <v>3.0</v>
      </c>
      <c r="P124" s="33"/>
      <c r="Q124" s="33"/>
      <c r="R124" s="33"/>
      <c r="S124" s="33"/>
    </row>
    <row r="125">
      <c r="B125" s="33"/>
      <c r="C125" s="33"/>
      <c r="D125" s="33"/>
      <c r="E125" s="33"/>
      <c r="F125" s="33"/>
      <c r="G125" s="33"/>
      <c r="H125" s="33"/>
      <c r="I125" s="33"/>
      <c r="J125" s="33"/>
      <c r="K125" s="33"/>
      <c r="L125" s="33"/>
      <c r="M125" s="33"/>
      <c r="N125" s="33"/>
      <c r="O125" s="33"/>
      <c r="P125" s="33"/>
      <c r="Q125" s="33"/>
      <c r="R125" s="33"/>
      <c r="S125" s="33"/>
    </row>
    <row r="126">
      <c r="B126" s="33"/>
      <c r="C126" s="33"/>
      <c r="D126" s="33"/>
      <c r="E126" s="33"/>
      <c r="F126" s="33"/>
      <c r="G126" s="33"/>
      <c r="H126" s="33"/>
      <c r="I126" s="33"/>
      <c r="J126" s="33"/>
      <c r="K126" s="33"/>
      <c r="L126" s="33"/>
      <c r="M126" s="33"/>
      <c r="N126" s="33"/>
      <c r="O126" s="33"/>
      <c r="P126" s="33"/>
      <c r="Q126" s="33"/>
      <c r="R126" s="33"/>
      <c r="S126" s="33"/>
    </row>
    <row r="127">
      <c r="B127" s="33"/>
      <c r="C127" s="33"/>
      <c r="D127" s="33"/>
      <c r="E127" s="33"/>
      <c r="F127" s="33"/>
      <c r="G127" s="33"/>
      <c r="H127" s="33"/>
      <c r="I127" s="33"/>
      <c r="J127" s="33"/>
      <c r="K127" s="33"/>
      <c r="L127" s="33"/>
      <c r="M127" s="33"/>
      <c r="N127" s="33"/>
      <c r="O127" s="33"/>
      <c r="P127" s="33"/>
      <c r="Q127" s="33"/>
      <c r="R127" s="33"/>
      <c r="S127" s="33"/>
    </row>
    <row r="128">
      <c r="Q128" s="33"/>
      <c r="R128" s="33"/>
      <c r="S128" s="33"/>
    </row>
    <row r="129">
      <c r="B129" s="33"/>
      <c r="C129" s="33"/>
      <c r="D129" s="33"/>
      <c r="E129" s="33"/>
      <c r="F129" s="33"/>
      <c r="G129" s="33"/>
      <c r="H129" s="33"/>
      <c r="I129" s="33"/>
      <c r="J129" s="33"/>
      <c r="K129" s="33"/>
      <c r="L129" s="33"/>
      <c r="M129" s="33"/>
      <c r="N129" s="33"/>
      <c r="O129" s="33"/>
      <c r="P129" s="33"/>
      <c r="Q129" s="33"/>
    </row>
    <row r="130">
      <c r="B130" s="33"/>
      <c r="C130" s="33"/>
      <c r="D130" s="33"/>
      <c r="E130" s="33"/>
      <c r="F130" s="33"/>
      <c r="G130" s="33"/>
      <c r="H130" s="33"/>
      <c r="I130" s="33"/>
      <c r="J130" s="33"/>
      <c r="K130" s="33"/>
      <c r="L130" s="33"/>
      <c r="M130" s="33"/>
      <c r="N130" s="33"/>
      <c r="O130" s="33"/>
      <c r="P130" s="33"/>
      <c r="Q130" s="33"/>
    </row>
    <row r="131">
      <c r="B131" s="33"/>
      <c r="C131" s="33"/>
      <c r="D131" s="33"/>
      <c r="E131" s="33"/>
      <c r="F131" s="33"/>
      <c r="G131" s="33"/>
      <c r="H131" s="33"/>
      <c r="I131" s="33"/>
      <c r="J131" s="33"/>
      <c r="K131" s="33"/>
      <c r="L131" s="33"/>
      <c r="M131" s="33"/>
      <c r="N131" s="33"/>
      <c r="O131" s="33"/>
      <c r="P131" s="33"/>
      <c r="Q131" s="33"/>
    </row>
    <row r="132">
      <c r="B132" s="33"/>
      <c r="C132" s="33"/>
      <c r="D132" s="33"/>
      <c r="E132" s="33"/>
      <c r="F132" s="33"/>
      <c r="G132" s="33"/>
      <c r="H132" s="33"/>
      <c r="I132" s="33"/>
      <c r="J132" s="33"/>
      <c r="K132" s="33"/>
      <c r="L132" s="33"/>
      <c r="M132" s="33"/>
      <c r="N132" s="33"/>
      <c r="O132" s="33"/>
      <c r="P132" s="33"/>
      <c r="Q132" s="33"/>
    </row>
    <row r="133">
      <c r="B133" s="33"/>
      <c r="C133" s="33"/>
      <c r="D133" s="33"/>
      <c r="E133" s="33"/>
      <c r="F133" s="33"/>
      <c r="G133" s="33"/>
      <c r="H133" s="33"/>
      <c r="I133" s="33"/>
      <c r="J133" s="33"/>
      <c r="K133" s="33"/>
      <c r="L133" s="33"/>
      <c r="M133" s="33"/>
      <c r="N133" s="33"/>
      <c r="O133" s="33"/>
      <c r="P133" s="33"/>
      <c r="Q133" s="33"/>
    </row>
    <row r="134">
      <c r="B134" s="33"/>
      <c r="C134" s="33"/>
      <c r="D134" s="33"/>
      <c r="E134" s="33"/>
      <c r="F134" s="33"/>
      <c r="G134" s="33"/>
      <c r="H134" s="33"/>
      <c r="I134" s="33"/>
      <c r="J134" s="33"/>
      <c r="K134" s="33"/>
      <c r="L134" s="33"/>
      <c r="M134" s="33"/>
      <c r="N134" s="33"/>
      <c r="O134" s="33"/>
      <c r="P134" s="33"/>
      <c r="Q134" s="33"/>
    </row>
    <row r="135">
      <c r="B135" s="33"/>
      <c r="C135" s="33"/>
      <c r="D135" s="33"/>
      <c r="E135" s="33"/>
      <c r="F135" s="33"/>
      <c r="G135" s="33"/>
      <c r="H135" s="33"/>
      <c r="I135" s="33"/>
      <c r="J135" s="33"/>
      <c r="K135" s="33"/>
      <c r="L135" s="33"/>
      <c r="M135" s="33"/>
      <c r="N135" s="33"/>
      <c r="O135" s="33"/>
      <c r="P135" s="33"/>
      <c r="Q135" s="33"/>
    </row>
    <row r="136">
      <c r="B136" s="33"/>
      <c r="C136" s="33"/>
      <c r="D136" s="33"/>
      <c r="E136" s="33"/>
      <c r="F136" s="33"/>
      <c r="G136" s="33"/>
      <c r="H136" s="33"/>
      <c r="I136" s="33"/>
      <c r="J136" s="33"/>
      <c r="K136" s="33"/>
      <c r="L136" s="33"/>
      <c r="M136" s="33"/>
      <c r="N136" s="33"/>
      <c r="O136" s="33"/>
      <c r="P136" s="33"/>
      <c r="Q136" s="33"/>
    </row>
    <row r="137">
      <c r="B137" s="33"/>
      <c r="C137" s="33"/>
      <c r="D137" s="33"/>
      <c r="E137" s="33"/>
      <c r="F137" s="33"/>
      <c r="G137" s="33"/>
      <c r="H137" s="33"/>
      <c r="I137" s="33"/>
      <c r="J137" s="33"/>
      <c r="K137" s="33"/>
      <c r="L137" s="33"/>
      <c r="M137" s="33"/>
      <c r="N137" s="33"/>
      <c r="O137" s="33"/>
      <c r="P137" s="33"/>
      <c r="Q137" s="33"/>
    </row>
    <row r="138">
      <c r="B138" s="33"/>
      <c r="C138" s="33"/>
      <c r="D138" s="33"/>
      <c r="E138" s="33"/>
      <c r="F138" s="33"/>
      <c r="G138" s="33"/>
      <c r="H138" s="33"/>
      <c r="I138" s="33"/>
      <c r="J138" s="33"/>
      <c r="K138" s="33"/>
      <c r="L138" s="33"/>
      <c r="M138" s="33"/>
      <c r="N138" s="33"/>
      <c r="O138" s="33"/>
      <c r="P138" s="33"/>
      <c r="Q138" s="33"/>
    </row>
    <row r="139">
      <c r="B139" s="33"/>
      <c r="C139" s="33"/>
      <c r="D139" s="33"/>
      <c r="E139" s="33"/>
      <c r="F139" s="33"/>
      <c r="G139" s="33"/>
      <c r="H139" s="33"/>
      <c r="I139" s="33"/>
      <c r="J139" s="33"/>
      <c r="K139" s="33"/>
      <c r="L139" s="33"/>
      <c r="M139" s="33"/>
      <c r="N139" s="33"/>
      <c r="O139" s="33"/>
      <c r="P139" s="33"/>
      <c r="Q139" s="33"/>
    </row>
    <row r="140">
      <c r="B140" s="33"/>
      <c r="C140" s="33"/>
      <c r="D140" s="33"/>
      <c r="E140" s="33"/>
      <c r="F140" s="33"/>
      <c r="G140" s="33"/>
      <c r="H140" s="33"/>
      <c r="I140" s="33"/>
      <c r="J140" s="33"/>
      <c r="K140" s="33"/>
      <c r="L140" s="33"/>
      <c r="M140" s="33"/>
      <c r="N140" s="33"/>
      <c r="O140" s="33"/>
      <c r="P140" s="33"/>
      <c r="Q140" s="33"/>
    </row>
    <row r="141">
      <c r="B141" s="33"/>
      <c r="C141" s="33"/>
      <c r="D141" s="33"/>
      <c r="E141" s="33"/>
      <c r="F141" s="33"/>
      <c r="G141" s="33"/>
      <c r="H141" s="33"/>
      <c r="I141" s="33"/>
      <c r="J141" s="33"/>
      <c r="K141" s="33"/>
      <c r="L141" s="33"/>
      <c r="M141" s="33"/>
      <c r="N141" s="33"/>
      <c r="O141" s="33"/>
      <c r="P141" s="33"/>
    </row>
    <row r="142">
      <c r="B142" s="33"/>
      <c r="C142" s="33"/>
      <c r="D142" s="33"/>
      <c r="E142" s="33"/>
      <c r="F142" s="33"/>
      <c r="G142" s="33"/>
      <c r="H142" s="33"/>
      <c r="I142" s="33"/>
      <c r="J142" s="33"/>
      <c r="K142" s="33"/>
      <c r="L142" s="33"/>
      <c r="M142" s="33"/>
      <c r="N142" s="33"/>
      <c r="O142" s="33"/>
      <c r="P142" s="33"/>
    </row>
    <row r="143">
      <c r="B143" s="33"/>
      <c r="C143" s="33"/>
      <c r="D143" s="33"/>
      <c r="E143" s="33"/>
      <c r="F143" s="33"/>
      <c r="G143" s="33"/>
      <c r="H143" s="33"/>
      <c r="I143" s="33"/>
      <c r="J143" s="33"/>
      <c r="K143" s="33"/>
      <c r="L143" s="33"/>
      <c r="M143" s="33"/>
      <c r="N143" s="33"/>
      <c r="O143" s="33"/>
      <c r="P143" s="33"/>
    </row>
    <row r="144">
      <c r="B144" s="33"/>
      <c r="C144" s="33"/>
      <c r="D144" s="33"/>
      <c r="E144" s="33"/>
      <c r="F144" s="33"/>
      <c r="G144" s="33"/>
      <c r="H144" s="33"/>
      <c r="I144" s="33"/>
      <c r="J144" s="33"/>
      <c r="K144" s="33"/>
      <c r="L144" s="33"/>
      <c r="M144" s="33"/>
      <c r="N144" s="33"/>
      <c r="O144" s="33"/>
      <c r="P144" s="33"/>
    </row>
    <row r="145">
      <c r="B145" s="33"/>
      <c r="C145" s="33"/>
      <c r="D145" s="33"/>
      <c r="E145" s="33"/>
      <c r="F145" s="33"/>
      <c r="G145" s="33"/>
      <c r="H145" s="33"/>
      <c r="I145" s="33"/>
      <c r="J145" s="33"/>
      <c r="K145" s="33"/>
      <c r="L145" s="33"/>
      <c r="M145" s="33"/>
      <c r="N145" s="33"/>
      <c r="O145" s="33"/>
      <c r="P145" s="33"/>
    </row>
    <row r="146">
      <c r="B146" s="33"/>
      <c r="C146" s="33"/>
      <c r="D146" s="33"/>
      <c r="E146" s="33"/>
      <c r="F146" s="33"/>
      <c r="G146" s="33"/>
      <c r="H146" s="33"/>
      <c r="I146" s="33"/>
      <c r="J146" s="33"/>
      <c r="K146" s="33"/>
      <c r="L146" s="33"/>
      <c r="M146" s="33"/>
      <c r="N146" s="33"/>
      <c r="O146" s="33"/>
      <c r="P146" s="33"/>
    </row>
    <row r="147">
      <c r="F147" s="6"/>
      <c r="G147" s="6"/>
      <c r="H147" s="6"/>
    </row>
    <row r="148">
      <c r="F148" s="6"/>
      <c r="G148" s="6"/>
      <c r="H148" s="6"/>
    </row>
    <row r="149">
      <c r="F149" s="6"/>
      <c r="G149" s="6"/>
      <c r="H149" s="6"/>
    </row>
    <row r="150">
      <c r="F150" s="6"/>
      <c r="G150" s="6"/>
      <c r="H150" s="6"/>
    </row>
    <row r="151">
      <c r="F151" s="6"/>
      <c r="G151" s="6"/>
      <c r="H151" s="6"/>
    </row>
    <row r="152">
      <c r="F152" s="6"/>
      <c r="G152" s="6"/>
      <c r="H152" s="6"/>
    </row>
    <row r="153">
      <c r="F153" s="6"/>
      <c r="G153" s="6"/>
      <c r="H153" s="6"/>
    </row>
    <row r="154">
      <c r="F154" s="6"/>
      <c r="G154" s="6"/>
      <c r="H154" s="6"/>
    </row>
    <row r="155">
      <c r="F155" s="6"/>
      <c r="G155" s="6"/>
      <c r="H155" s="6"/>
    </row>
    <row r="156">
      <c r="F156" s="6"/>
      <c r="G156" s="6"/>
      <c r="H156" s="6"/>
    </row>
    <row r="157">
      <c r="F157" s="6"/>
      <c r="G157" s="6"/>
      <c r="H157" s="6"/>
    </row>
    <row r="158">
      <c r="F158" s="6"/>
      <c r="G158" s="6"/>
      <c r="H158" s="6"/>
    </row>
    <row r="159">
      <c r="F159" s="6"/>
      <c r="G159" s="6"/>
      <c r="H159" s="6"/>
    </row>
    <row r="160">
      <c r="F160" s="6"/>
      <c r="G160" s="6"/>
      <c r="H160" s="6"/>
    </row>
    <row r="161">
      <c r="F161" s="6"/>
      <c r="G161" s="6"/>
      <c r="H161" s="6"/>
    </row>
    <row r="162">
      <c r="F162" s="6"/>
      <c r="G162" s="6"/>
      <c r="H162" s="6"/>
    </row>
    <row r="163">
      <c r="F163" s="6"/>
      <c r="G163" s="6"/>
      <c r="H163" s="6"/>
    </row>
    <row r="164">
      <c r="F164" s="6"/>
      <c r="G164" s="6"/>
      <c r="H164" s="6"/>
    </row>
    <row r="165">
      <c r="F165" s="6"/>
      <c r="G165" s="6"/>
      <c r="H165" s="6"/>
    </row>
    <row r="166">
      <c r="F166" s="6"/>
      <c r="G166" s="6"/>
      <c r="H166" s="6"/>
    </row>
    <row r="167">
      <c r="F167" s="6"/>
      <c r="G167" s="6"/>
      <c r="H167" s="6"/>
    </row>
    <row r="168">
      <c r="F168" s="6"/>
      <c r="G168" s="6"/>
      <c r="H168" s="6"/>
    </row>
    <row r="169">
      <c r="F169" s="6"/>
      <c r="G169" s="6"/>
      <c r="H169" s="6"/>
    </row>
    <row r="170">
      <c r="F170" s="6"/>
      <c r="G170" s="6"/>
      <c r="H170" s="6"/>
    </row>
    <row r="171">
      <c r="F171" s="6"/>
      <c r="G171" s="6"/>
      <c r="H171" s="6"/>
    </row>
    <row r="172">
      <c r="F172" s="6"/>
      <c r="G172" s="6"/>
      <c r="H172" s="6"/>
    </row>
    <row r="173">
      <c r="F173" s="6"/>
      <c r="G173" s="6"/>
      <c r="H173" s="6"/>
    </row>
    <row r="174">
      <c r="F174" s="6"/>
      <c r="G174" s="6"/>
      <c r="H174" s="6"/>
    </row>
    <row r="175">
      <c r="F175" s="6"/>
      <c r="G175" s="6"/>
      <c r="H175" s="6"/>
    </row>
    <row r="176">
      <c r="F176" s="6"/>
      <c r="G176" s="6"/>
      <c r="H176" s="6"/>
    </row>
    <row r="177">
      <c r="F177" s="6"/>
      <c r="G177" s="6"/>
      <c r="H177" s="6"/>
    </row>
    <row r="178">
      <c r="F178" s="6"/>
      <c r="G178" s="6"/>
      <c r="H178" s="6"/>
    </row>
    <row r="179">
      <c r="F179" s="6"/>
      <c r="G179" s="6"/>
      <c r="H179" s="6"/>
    </row>
    <row r="180">
      <c r="F180" s="6"/>
      <c r="G180" s="6"/>
      <c r="H180" s="6"/>
    </row>
    <row r="181">
      <c r="F181" s="6"/>
      <c r="G181" s="6"/>
      <c r="H181" s="6"/>
    </row>
    <row r="182">
      <c r="F182" s="6"/>
      <c r="G182" s="6"/>
      <c r="H182" s="6"/>
    </row>
    <row r="183">
      <c r="F183" s="6"/>
      <c r="G183" s="6"/>
      <c r="H183" s="6"/>
    </row>
    <row r="184">
      <c r="F184" s="6"/>
      <c r="G184" s="6"/>
      <c r="H184" s="6"/>
    </row>
    <row r="185">
      <c r="F185" s="6"/>
      <c r="G185" s="6"/>
      <c r="H185" s="6"/>
    </row>
    <row r="186">
      <c r="F186" s="6"/>
      <c r="G186" s="6"/>
      <c r="H186" s="6"/>
    </row>
    <row r="187">
      <c r="F187" s="6"/>
      <c r="G187" s="6"/>
      <c r="H187" s="6"/>
    </row>
    <row r="188">
      <c r="F188" s="6"/>
      <c r="G188" s="6"/>
      <c r="H188" s="6"/>
    </row>
    <row r="189">
      <c r="F189" s="6"/>
      <c r="G189" s="6"/>
      <c r="H189" s="6"/>
    </row>
    <row r="190">
      <c r="F190" s="6"/>
      <c r="G190" s="6"/>
      <c r="H190" s="6"/>
    </row>
    <row r="191">
      <c r="F191" s="6"/>
      <c r="G191" s="6"/>
      <c r="H191" s="6"/>
    </row>
    <row r="192">
      <c r="F192" s="6"/>
      <c r="G192" s="6"/>
      <c r="H192" s="6"/>
    </row>
    <row r="193">
      <c r="F193" s="6"/>
      <c r="G193" s="6"/>
      <c r="H193" s="6"/>
    </row>
    <row r="194">
      <c r="F194" s="6"/>
      <c r="G194" s="6"/>
      <c r="H194" s="6"/>
    </row>
    <row r="195">
      <c r="F195" s="6"/>
      <c r="G195" s="6"/>
      <c r="H195" s="6"/>
    </row>
    <row r="196">
      <c r="F196" s="6"/>
      <c r="G196" s="6"/>
      <c r="H196" s="6"/>
    </row>
    <row r="197">
      <c r="F197" s="6"/>
      <c r="G197" s="6"/>
      <c r="H197" s="6"/>
    </row>
    <row r="198">
      <c r="F198" s="6"/>
      <c r="G198" s="6"/>
      <c r="H198" s="6"/>
    </row>
    <row r="199">
      <c r="F199" s="6"/>
      <c r="G199" s="6"/>
      <c r="H199" s="6"/>
    </row>
    <row r="200">
      <c r="F200" s="6"/>
      <c r="G200" s="6"/>
      <c r="H200" s="6"/>
    </row>
    <row r="201">
      <c r="F201" s="6"/>
      <c r="G201" s="6"/>
      <c r="H201" s="6"/>
    </row>
    <row r="202">
      <c r="F202" s="6"/>
      <c r="G202" s="6"/>
      <c r="H202" s="6"/>
    </row>
    <row r="203">
      <c r="F203" s="6"/>
      <c r="G203" s="6"/>
      <c r="H203" s="6"/>
    </row>
    <row r="204">
      <c r="F204" s="6"/>
      <c r="G204" s="6"/>
      <c r="H204" s="6"/>
    </row>
    <row r="205">
      <c r="F205" s="6"/>
      <c r="G205" s="6"/>
      <c r="H205" s="6"/>
    </row>
    <row r="206">
      <c r="F206" s="6"/>
      <c r="G206" s="6"/>
      <c r="H206" s="6"/>
    </row>
    <row r="207">
      <c r="F207" s="6"/>
      <c r="G207" s="6"/>
      <c r="H207" s="6"/>
    </row>
    <row r="208">
      <c r="F208" s="6"/>
      <c r="G208" s="6"/>
      <c r="H208" s="6"/>
    </row>
    <row r="209">
      <c r="F209" s="6"/>
      <c r="G209" s="6"/>
      <c r="H209" s="6"/>
    </row>
    <row r="210">
      <c r="F210" s="6"/>
      <c r="G210" s="6"/>
      <c r="H210" s="6"/>
    </row>
    <row r="211">
      <c r="F211" s="6"/>
      <c r="G211" s="6"/>
      <c r="H211" s="6"/>
    </row>
    <row r="212">
      <c r="F212" s="6"/>
      <c r="G212" s="6"/>
      <c r="H212" s="6"/>
    </row>
    <row r="213">
      <c r="F213" s="6"/>
      <c r="G213" s="6"/>
      <c r="H213" s="6"/>
    </row>
    <row r="214">
      <c r="F214" s="6"/>
      <c r="G214" s="6"/>
      <c r="H214" s="6"/>
    </row>
    <row r="215">
      <c r="F215" s="6"/>
      <c r="G215" s="6"/>
      <c r="H215" s="6"/>
    </row>
    <row r="216">
      <c r="F216" s="6"/>
      <c r="G216" s="6"/>
      <c r="H216" s="6"/>
    </row>
    <row r="217">
      <c r="F217" s="6"/>
      <c r="G217" s="6"/>
      <c r="H217" s="6"/>
    </row>
    <row r="218">
      <c r="F218" s="6"/>
      <c r="G218" s="6"/>
      <c r="H218" s="6"/>
    </row>
    <row r="219">
      <c r="F219" s="6"/>
      <c r="G219" s="6"/>
      <c r="H219" s="6"/>
    </row>
    <row r="220">
      <c r="F220" s="6"/>
      <c r="G220" s="6"/>
      <c r="H220" s="6"/>
    </row>
    <row r="221">
      <c r="F221" s="6"/>
      <c r="G221" s="6"/>
      <c r="H221" s="6"/>
    </row>
    <row r="222">
      <c r="F222" s="6"/>
      <c r="G222" s="6"/>
      <c r="H222" s="6"/>
    </row>
    <row r="223">
      <c r="F223" s="6"/>
      <c r="G223" s="6"/>
      <c r="H223" s="6"/>
    </row>
    <row r="224">
      <c r="F224" s="6"/>
      <c r="G224" s="6"/>
      <c r="H224" s="6"/>
    </row>
    <row r="225">
      <c r="F225" s="6"/>
      <c r="G225" s="6"/>
      <c r="H225" s="6"/>
    </row>
    <row r="226">
      <c r="F226" s="6"/>
      <c r="G226" s="6"/>
      <c r="H226" s="6"/>
    </row>
    <row r="227">
      <c r="F227" s="6"/>
      <c r="G227" s="6"/>
      <c r="H227" s="6"/>
    </row>
    <row r="228">
      <c r="F228" s="6"/>
      <c r="G228" s="6"/>
      <c r="H228" s="6"/>
    </row>
    <row r="229">
      <c r="F229" s="6"/>
      <c r="G229" s="6"/>
      <c r="H229" s="6"/>
    </row>
    <row r="230">
      <c r="F230" s="6"/>
      <c r="G230" s="6"/>
      <c r="H230" s="6"/>
    </row>
    <row r="231">
      <c r="F231" s="6"/>
      <c r="G231" s="6"/>
      <c r="H231" s="6"/>
    </row>
    <row r="232">
      <c r="F232" s="6"/>
      <c r="G232" s="6"/>
      <c r="H232" s="6"/>
    </row>
    <row r="233">
      <c r="F233" s="6"/>
      <c r="G233" s="6"/>
      <c r="H233" s="6"/>
    </row>
    <row r="234">
      <c r="F234" s="6"/>
      <c r="G234" s="6"/>
      <c r="H234" s="6"/>
    </row>
    <row r="235">
      <c r="F235" s="6"/>
      <c r="G235" s="6"/>
      <c r="H235" s="6"/>
    </row>
    <row r="236">
      <c r="F236" s="6"/>
      <c r="G236" s="6"/>
      <c r="H236" s="6"/>
    </row>
    <row r="237">
      <c r="F237" s="6"/>
      <c r="G237" s="6"/>
      <c r="H237" s="6"/>
    </row>
    <row r="238">
      <c r="F238" s="6"/>
      <c r="G238" s="6"/>
      <c r="H238" s="6"/>
    </row>
    <row r="239">
      <c r="F239" s="6"/>
      <c r="G239" s="6"/>
      <c r="H239" s="6"/>
    </row>
    <row r="240">
      <c r="F240" s="6"/>
      <c r="G240" s="6"/>
      <c r="H240" s="6"/>
    </row>
    <row r="241">
      <c r="F241" s="6"/>
      <c r="G241" s="6"/>
      <c r="H241" s="6"/>
    </row>
    <row r="242">
      <c r="F242" s="6"/>
      <c r="G242" s="6"/>
      <c r="H242" s="6"/>
    </row>
    <row r="243">
      <c r="F243" s="6"/>
      <c r="G243" s="6"/>
      <c r="H243" s="6"/>
    </row>
    <row r="244">
      <c r="F244" s="6"/>
      <c r="G244" s="6"/>
      <c r="H244" s="6"/>
    </row>
    <row r="245">
      <c r="F245" s="6"/>
      <c r="G245" s="6"/>
      <c r="H245" s="6"/>
    </row>
    <row r="246">
      <c r="F246" s="6"/>
      <c r="G246" s="6"/>
      <c r="H246" s="6"/>
    </row>
    <row r="247">
      <c r="F247" s="6"/>
      <c r="G247" s="6"/>
      <c r="H247" s="6"/>
    </row>
    <row r="248">
      <c r="F248" s="6"/>
      <c r="G248" s="6"/>
      <c r="H248" s="6"/>
    </row>
    <row r="249">
      <c r="F249" s="6"/>
      <c r="G249" s="6"/>
      <c r="H249" s="6"/>
    </row>
    <row r="250">
      <c r="F250" s="6"/>
      <c r="G250" s="6"/>
      <c r="H250" s="6"/>
    </row>
    <row r="251">
      <c r="F251" s="6"/>
      <c r="G251" s="6"/>
      <c r="H251" s="6"/>
    </row>
    <row r="252">
      <c r="F252" s="6"/>
      <c r="G252" s="6"/>
      <c r="H252" s="6"/>
    </row>
    <row r="253">
      <c r="F253" s="6"/>
      <c r="G253" s="6"/>
      <c r="H253" s="6"/>
    </row>
    <row r="254">
      <c r="F254" s="6"/>
      <c r="G254" s="6"/>
      <c r="H254" s="6"/>
    </row>
    <row r="255">
      <c r="F255" s="6"/>
      <c r="G255" s="6"/>
      <c r="H255" s="6"/>
    </row>
    <row r="256">
      <c r="F256" s="6"/>
      <c r="G256" s="6"/>
      <c r="H256" s="6"/>
    </row>
    <row r="257">
      <c r="F257" s="6"/>
      <c r="G257" s="6"/>
      <c r="H257" s="6"/>
    </row>
    <row r="258">
      <c r="F258" s="6"/>
      <c r="G258" s="6"/>
      <c r="H258" s="6"/>
    </row>
    <row r="259">
      <c r="F259" s="6"/>
      <c r="G259" s="6"/>
      <c r="H259" s="6"/>
    </row>
    <row r="260">
      <c r="F260" s="6"/>
      <c r="G260" s="6"/>
      <c r="H260" s="6"/>
    </row>
    <row r="261">
      <c r="F261" s="6"/>
      <c r="G261" s="6"/>
      <c r="H261" s="6"/>
    </row>
    <row r="262">
      <c r="F262" s="6"/>
      <c r="G262" s="6"/>
      <c r="H262" s="6"/>
    </row>
    <row r="263">
      <c r="F263" s="6"/>
      <c r="G263" s="6"/>
      <c r="H263" s="6"/>
    </row>
    <row r="264">
      <c r="F264" s="6"/>
      <c r="G264" s="6"/>
      <c r="H264" s="6"/>
    </row>
    <row r="265">
      <c r="F265" s="6"/>
      <c r="G265" s="6"/>
      <c r="H265" s="6"/>
    </row>
    <row r="266">
      <c r="F266" s="6"/>
      <c r="G266" s="6"/>
      <c r="H266" s="6"/>
    </row>
    <row r="267">
      <c r="F267" s="6"/>
      <c r="G267" s="6"/>
      <c r="H267" s="6"/>
    </row>
    <row r="268">
      <c r="F268" s="6"/>
      <c r="G268" s="6"/>
      <c r="H268" s="6"/>
    </row>
    <row r="269">
      <c r="F269" s="6"/>
      <c r="G269" s="6"/>
      <c r="H269" s="6"/>
    </row>
    <row r="270">
      <c r="F270" s="6"/>
      <c r="G270" s="6"/>
      <c r="H270" s="6"/>
    </row>
    <row r="271">
      <c r="F271" s="6"/>
      <c r="G271" s="6"/>
      <c r="H271" s="6"/>
    </row>
    <row r="272">
      <c r="F272" s="6"/>
      <c r="G272" s="6"/>
      <c r="H272" s="6"/>
    </row>
    <row r="273">
      <c r="F273" s="6"/>
      <c r="G273" s="6"/>
      <c r="H273" s="6"/>
    </row>
    <row r="274">
      <c r="F274" s="6"/>
      <c r="G274" s="6"/>
      <c r="H274" s="6"/>
    </row>
    <row r="275">
      <c r="F275" s="6"/>
      <c r="G275" s="6"/>
      <c r="H275" s="6"/>
    </row>
    <row r="276">
      <c r="F276" s="6"/>
      <c r="G276" s="6"/>
      <c r="H276" s="6"/>
    </row>
    <row r="277">
      <c r="F277" s="6"/>
      <c r="G277" s="6"/>
      <c r="H277" s="6"/>
    </row>
    <row r="278">
      <c r="F278" s="6"/>
      <c r="G278" s="6"/>
      <c r="H278" s="6"/>
    </row>
    <row r="279">
      <c r="F279" s="6"/>
      <c r="G279" s="6"/>
      <c r="H279" s="6"/>
    </row>
    <row r="280">
      <c r="F280" s="6"/>
      <c r="G280" s="6"/>
      <c r="H280" s="6"/>
    </row>
    <row r="281">
      <c r="F281" s="6"/>
      <c r="G281" s="6"/>
      <c r="H281" s="6"/>
    </row>
    <row r="282">
      <c r="F282" s="6"/>
      <c r="G282" s="6"/>
      <c r="H282" s="6"/>
    </row>
    <row r="283">
      <c r="F283" s="6"/>
      <c r="G283" s="6"/>
      <c r="H283" s="6"/>
    </row>
    <row r="284">
      <c r="F284" s="6"/>
      <c r="G284" s="6"/>
      <c r="H284" s="6"/>
    </row>
    <row r="285">
      <c r="F285" s="6"/>
      <c r="G285" s="6"/>
      <c r="H285" s="6"/>
    </row>
    <row r="286">
      <c r="F286" s="6"/>
      <c r="G286" s="6"/>
      <c r="H286" s="6"/>
    </row>
    <row r="287">
      <c r="F287" s="6"/>
      <c r="G287" s="6"/>
      <c r="H287" s="6"/>
    </row>
    <row r="288">
      <c r="F288" s="6"/>
      <c r="G288" s="6"/>
      <c r="H288" s="6"/>
    </row>
    <row r="289">
      <c r="F289" s="6"/>
      <c r="G289" s="6"/>
      <c r="H289" s="6"/>
    </row>
    <row r="290">
      <c r="F290" s="6"/>
      <c r="G290" s="6"/>
      <c r="H290" s="6"/>
    </row>
    <row r="291">
      <c r="F291" s="6"/>
      <c r="G291" s="6"/>
      <c r="H291" s="6"/>
    </row>
    <row r="292">
      <c r="F292" s="6"/>
      <c r="G292" s="6"/>
      <c r="H292" s="6"/>
    </row>
    <row r="293">
      <c r="F293" s="6"/>
      <c r="G293" s="6"/>
      <c r="H293" s="6"/>
    </row>
    <row r="294">
      <c r="F294" s="6"/>
      <c r="G294" s="6"/>
      <c r="H294" s="6"/>
    </row>
    <row r="295">
      <c r="F295" s="6"/>
      <c r="G295" s="6"/>
      <c r="H295" s="6"/>
    </row>
    <row r="296">
      <c r="F296" s="6"/>
      <c r="G296" s="6"/>
      <c r="H296" s="6"/>
    </row>
    <row r="297">
      <c r="F297" s="6"/>
      <c r="G297" s="6"/>
      <c r="H297" s="6"/>
    </row>
    <row r="298">
      <c r="F298" s="6"/>
      <c r="G298" s="6"/>
      <c r="H298" s="6"/>
    </row>
    <row r="299">
      <c r="F299" s="6"/>
      <c r="G299" s="6"/>
      <c r="H299" s="6"/>
    </row>
    <row r="300">
      <c r="F300" s="6"/>
      <c r="G300" s="6"/>
      <c r="H300" s="6"/>
    </row>
    <row r="301">
      <c r="F301" s="6"/>
      <c r="G301" s="6"/>
      <c r="H301" s="6"/>
    </row>
    <row r="302">
      <c r="F302" s="6"/>
      <c r="G302" s="6"/>
      <c r="H302" s="6"/>
    </row>
    <row r="303">
      <c r="F303" s="6"/>
      <c r="G303" s="6"/>
      <c r="H303" s="6"/>
    </row>
    <row r="304">
      <c r="F304" s="6"/>
      <c r="G304" s="6"/>
      <c r="H304" s="6"/>
    </row>
    <row r="305">
      <c r="F305" s="6"/>
      <c r="G305" s="6"/>
      <c r="H305" s="6"/>
    </row>
    <row r="306">
      <c r="F306" s="6"/>
      <c r="G306" s="6"/>
      <c r="H306" s="6"/>
    </row>
    <row r="307">
      <c r="F307" s="6"/>
      <c r="G307" s="6"/>
      <c r="H307" s="6"/>
    </row>
    <row r="308">
      <c r="F308" s="6"/>
      <c r="G308" s="6"/>
      <c r="H308" s="6"/>
    </row>
    <row r="309">
      <c r="F309" s="6"/>
      <c r="G309" s="6"/>
      <c r="H309" s="6"/>
    </row>
    <row r="310">
      <c r="F310" s="6"/>
      <c r="G310" s="6"/>
      <c r="H310" s="6"/>
    </row>
    <row r="311">
      <c r="F311" s="6"/>
      <c r="G311" s="6"/>
      <c r="H311" s="6"/>
    </row>
    <row r="312">
      <c r="F312" s="6"/>
      <c r="G312" s="6"/>
      <c r="H312" s="6"/>
    </row>
    <row r="313">
      <c r="F313" s="6"/>
      <c r="G313" s="6"/>
      <c r="H313" s="6"/>
    </row>
    <row r="314">
      <c r="F314" s="6"/>
      <c r="G314" s="6"/>
      <c r="H314" s="6"/>
    </row>
    <row r="315">
      <c r="F315" s="6"/>
      <c r="G315" s="6"/>
      <c r="H315" s="6"/>
    </row>
    <row r="316">
      <c r="F316" s="6"/>
      <c r="G316" s="6"/>
      <c r="H316" s="6"/>
    </row>
    <row r="317">
      <c r="F317" s="6"/>
      <c r="G317" s="6"/>
      <c r="H317" s="6"/>
    </row>
    <row r="318">
      <c r="F318" s="6"/>
      <c r="G318" s="6"/>
      <c r="H318" s="6"/>
    </row>
    <row r="319">
      <c r="F319" s="6"/>
      <c r="G319" s="6"/>
      <c r="H319" s="6"/>
    </row>
    <row r="320">
      <c r="F320" s="6"/>
      <c r="G320" s="6"/>
      <c r="H320" s="6"/>
    </row>
    <row r="321">
      <c r="F321" s="6"/>
      <c r="G321" s="6"/>
      <c r="H321" s="6"/>
    </row>
    <row r="322">
      <c r="F322" s="6"/>
      <c r="G322" s="6"/>
      <c r="H322" s="6"/>
    </row>
    <row r="323">
      <c r="F323" s="6"/>
      <c r="G323" s="6"/>
      <c r="H323" s="6"/>
    </row>
    <row r="324">
      <c r="F324" s="6"/>
      <c r="G324" s="6"/>
      <c r="H324" s="6"/>
    </row>
    <row r="325">
      <c r="F325" s="6"/>
      <c r="G325" s="6"/>
      <c r="H325" s="6"/>
    </row>
    <row r="326">
      <c r="F326" s="6"/>
      <c r="G326" s="6"/>
      <c r="H326" s="6"/>
    </row>
    <row r="327">
      <c r="F327" s="6"/>
      <c r="G327" s="6"/>
      <c r="H327" s="6"/>
    </row>
    <row r="328">
      <c r="F328" s="6"/>
      <c r="G328" s="6"/>
      <c r="H328" s="6"/>
    </row>
    <row r="329">
      <c r="F329" s="6"/>
      <c r="G329" s="6"/>
      <c r="H329" s="6"/>
    </row>
    <row r="330">
      <c r="F330" s="6"/>
      <c r="G330" s="6"/>
      <c r="H330" s="6"/>
    </row>
    <row r="331">
      <c r="F331" s="6"/>
      <c r="G331" s="6"/>
      <c r="H331" s="6"/>
    </row>
    <row r="332">
      <c r="F332" s="6"/>
      <c r="G332" s="6"/>
      <c r="H332" s="6"/>
    </row>
    <row r="333">
      <c r="F333" s="6"/>
      <c r="G333" s="6"/>
      <c r="H333" s="6"/>
    </row>
    <row r="334">
      <c r="F334" s="6"/>
      <c r="G334" s="6"/>
      <c r="H334" s="6"/>
    </row>
    <row r="335">
      <c r="F335" s="6"/>
      <c r="G335" s="6"/>
      <c r="H335" s="6"/>
    </row>
    <row r="336">
      <c r="F336" s="6"/>
      <c r="G336" s="6"/>
      <c r="H336" s="6"/>
    </row>
    <row r="337">
      <c r="F337" s="6"/>
      <c r="G337" s="6"/>
      <c r="H337" s="6"/>
    </row>
    <row r="338">
      <c r="F338" s="6"/>
      <c r="G338" s="6"/>
      <c r="H338" s="6"/>
    </row>
    <row r="339">
      <c r="F339" s="6"/>
      <c r="G339" s="6"/>
      <c r="H339" s="6"/>
    </row>
    <row r="340">
      <c r="F340" s="6"/>
      <c r="G340" s="6"/>
      <c r="H340" s="6"/>
    </row>
    <row r="341">
      <c r="F341" s="6"/>
      <c r="G341" s="6"/>
      <c r="H341" s="6"/>
    </row>
    <row r="342">
      <c r="F342" s="6"/>
      <c r="G342" s="6"/>
      <c r="H342" s="6"/>
    </row>
    <row r="343">
      <c r="F343" s="6"/>
      <c r="G343" s="6"/>
      <c r="H343" s="6"/>
    </row>
    <row r="344">
      <c r="F344" s="6"/>
      <c r="G344" s="6"/>
      <c r="H344" s="6"/>
    </row>
    <row r="345">
      <c r="F345" s="6"/>
      <c r="G345" s="6"/>
      <c r="H345" s="6"/>
    </row>
    <row r="346">
      <c r="F346" s="6"/>
      <c r="G346" s="6"/>
      <c r="H346" s="6"/>
    </row>
    <row r="347">
      <c r="F347" s="6"/>
      <c r="G347" s="6"/>
      <c r="H347" s="6"/>
    </row>
    <row r="348">
      <c r="F348" s="6"/>
      <c r="G348" s="6"/>
      <c r="H348" s="6"/>
    </row>
    <row r="349">
      <c r="F349" s="6"/>
      <c r="G349" s="6"/>
      <c r="H349" s="6"/>
    </row>
    <row r="350">
      <c r="F350" s="6"/>
      <c r="G350" s="6"/>
      <c r="H350" s="6"/>
    </row>
    <row r="351">
      <c r="F351" s="6"/>
      <c r="G351" s="6"/>
      <c r="H351" s="6"/>
    </row>
    <row r="352">
      <c r="F352" s="6"/>
      <c r="G352" s="6"/>
      <c r="H352" s="6"/>
    </row>
    <row r="353">
      <c r="F353" s="6"/>
      <c r="G353" s="6"/>
      <c r="H353" s="6"/>
    </row>
    <row r="354">
      <c r="F354" s="6"/>
      <c r="G354" s="6"/>
      <c r="H354" s="6"/>
    </row>
    <row r="355">
      <c r="F355" s="6"/>
      <c r="G355" s="6"/>
      <c r="H355" s="6"/>
    </row>
    <row r="356">
      <c r="F356" s="6"/>
      <c r="G356" s="6"/>
      <c r="H356" s="6"/>
    </row>
    <row r="357">
      <c r="F357" s="6"/>
      <c r="G357" s="6"/>
      <c r="H357" s="6"/>
    </row>
    <row r="358">
      <c r="F358" s="6"/>
      <c r="G358" s="6"/>
      <c r="H358" s="6"/>
    </row>
    <row r="359">
      <c r="F359" s="6"/>
      <c r="G359" s="6"/>
      <c r="H359" s="6"/>
    </row>
    <row r="360">
      <c r="F360" s="6"/>
      <c r="G360" s="6"/>
      <c r="H360" s="6"/>
    </row>
    <row r="361">
      <c r="F361" s="6"/>
      <c r="G361" s="6"/>
      <c r="H361" s="6"/>
    </row>
    <row r="362">
      <c r="F362" s="6"/>
      <c r="G362" s="6"/>
      <c r="H362" s="6"/>
    </row>
    <row r="363">
      <c r="F363" s="6"/>
      <c r="G363" s="6"/>
      <c r="H363" s="6"/>
    </row>
    <row r="364">
      <c r="F364" s="6"/>
      <c r="G364" s="6"/>
      <c r="H364" s="6"/>
    </row>
    <row r="365">
      <c r="F365" s="6"/>
      <c r="G365" s="6"/>
      <c r="H365" s="6"/>
    </row>
    <row r="366">
      <c r="F366" s="6"/>
      <c r="G366" s="6"/>
      <c r="H366" s="6"/>
    </row>
    <row r="367">
      <c r="F367" s="6"/>
      <c r="G367" s="6"/>
      <c r="H367" s="6"/>
    </row>
    <row r="368">
      <c r="F368" s="6"/>
      <c r="G368" s="6"/>
      <c r="H368" s="6"/>
    </row>
    <row r="369">
      <c r="F369" s="6"/>
      <c r="G369" s="6"/>
      <c r="H369" s="6"/>
    </row>
    <row r="370">
      <c r="F370" s="6"/>
      <c r="G370" s="6"/>
      <c r="H370" s="6"/>
    </row>
    <row r="371">
      <c r="F371" s="6"/>
      <c r="G371" s="6"/>
      <c r="H371" s="6"/>
    </row>
    <row r="372">
      <c r="F372" s="6"/>
      <c r="G372" s="6"/>
      <c r="H372" s="6"/>
    </row>
    <row r="373">
      <c r="F373" s="6"/>
      <c r="G373" s="6"/>
      <c r="H373" s="6"/>
    </row>
    <row r="374">
      <c r="F374" s="6"/>
      <c r="G374" s="6"/>
      <c r="H374" s="6"/>
    </row>
    <row r="375">
      <c r="F375" s="6"/>
      <c r="G375" s="6"/>
      <c r="H375" s="6"/>
    </row>
    <row r="376">
      <c r="F376" s="6"/>
      <c r="G376" s="6"/>
      <c r="H376" s="6"/>
    </row>
    <row r="377">
      <c r="F377" s="6"/>
      <c r="G377" s="6"/>
      <c r="H377" s="6"/>
    </row>
    <row r="378">
      <c r="F378" s="6"/>
      <c r="G378" s="6"/>
      <c r="H378" s="6"/>
    </row>
    <row r="379">
      <c r="F379" s="6"/>
      <c r="G379" s="6"/>
      <c r="H379" s="6"/>
    </row>
    <row r="380">
      <c r="F380" s="6"/>
      <c r="G380" s="6"/>
      <c r="H380" s="6"/>
    </row>
    <row r="381">
      <c r="F381" s="6"/>
      <c r="G381" s="6"/>
      <c r="H381" s="6"/>
    </row>
    <row r="382">
      <c r="F382" s="6"/>
      <c r="G382" s="6"/>
      <c r="H382" s="6"/>
    </row>
    <row r="383">
      <c r="F383" s="6"/>
      <c r="G383" s="6"/>
      <c r="H383" s="6"/>
    </row>
    <row r="384">
      <c r="F384" s="6"/>
      <c r="G384" s="6"/>
      <c r="H384" s="6"/>
    </row>
    <row r="385">
      <c r="F385" s="6"/>
      <c r="G385" s="6"/>
      <c r="H385" s="6"/>
    </row>
    <row r="386">
      <c r="F386" s="6"/>
      <c r="G386" s="6"/>
      <c r="H386" s="6"/>
    </row>
    <row r="387">
      <c r="F387" s="6"/>
      <c r="G387" s="6"/>
      <c r="H387" s="6"/>
    </row>
    <row r="388">
      <c r="F388" s="6"/>
      <c r="G388" s="6"/>
      <c r="H388" s="6"/>
    </row>
    <row r="389">
      <c r="F389" s="6"/>
      <c r="G389" s="6"/>
      <c r="H389" s="6"/>
    </row>
    <row r="390">
      <c r="F390" s="6"/>
      <c r="G390" s="6"/>
      <c r="H390" s="6"/>
    </row>
    <row r="391">
      <c r="F391" s="6"/>
      <c r="G391" s="6"/>
      <c r="H391" s="6"/>
    </row>
    <row r="392">
      <c r="F392" s="6"/>
      <c r="G392" s="6"/>
      <c r="H392" s="6"/>
    </row>
    <row r="393">
      <c r="F393" s="6"/>
      <c r="G393" s="6"/>
      <c r="H393" s="6"/>
    </row>
    <row r="394">
      <c r="F394" s="6"/>
      <c r="G394" s="6"/>
      <c r="H394" s="6"/>
    </row>
    <row r="395">
      <c r="F395" s="6"/>
      <c r="G395" s="6"/>
      <c r="H395" s="6"/>
    </row>
    <row r="396">
      <c r="F396" s="6"/>
      <c r="G396" s="6"/>
      <c r="H396" s="6"/>
    </row>
    <row r="397">
      <c r="F397" s="6"/>
      <c r="G397" s="6"/>
      <c r="H397" s="6"/>
    </row>
    <row r="398">
      <c r="F398" s="6"/>
      <c r="G398" s="6"/>
      <c r="H398" s="6"/>
    </row>
    <row r="399">
      <c r="F399" s="6"/>
      <c r="G399" s="6"/>
      <c r="H399" s="6"/>
    </row>
    <row r="400">
      <c r="F400" s="6"/>
      <c r="G400" s="6"/>
      <c r="H400" s="6"/>
    </row>
    <row r="401">
      <c r="F401" s="6"/>
      <c r="G401" s="6"/>
      <c r="H401" s="6"/>
    </row>
    <row r="402">
      <c r="F402" s="6"/>
      <c r="G402" s="6"/>
      <c r="H402" s="6"/>
    </row>
    <row r="403">
      <c r="F403" s="6"/>
      <c r="G403" s="6"/>
      <c r="H403" s="6"/>
    </row>
    <row r="404">
      <c r="F404" s="6"/>
      <c r="G404" s="6"/>
      <c r="H404" s="6"/>
    </row>
    <row r="405">
      <c r="F405" s="6"/>
      <c r="G405" s="6"/>
      <c r="H405" s="6"/>
    </row>
    <row r="406">
      <c r="F406" s="6"/>
      <c r="G406" s="6"/>
      <c r="H406" s="6"/>
    </row>
    <row r="407">
      <c r="F407" s="6"/>
      <c r="G407" s="6"/>
      <c r="H407" s="6"/>
    </row>
    <row r="408">
      <c r="F408" s="6"/>
      <c r="G408" s="6"/>
      <c r="H408" s="6"/>
    </row>
    <row r="409">
      <c r="F409" s="6"/>
      <c r="G409" s="6"/>
      <c r="H409" s="6"/>
    </row>
    <row r="410">
      <c r="F410" s="6"/>
      <c r="G410" s="6"/>
      <c r="H410" s="6"/>
    </row>
    <row r="411">
      <c r="F411" s="6"/>
      <c r="G411" s="6"/>
      <c r="H411" s="6"/>
    </row>
    <row r="412">
      <c r="F412" s="6"/>
      <c r="G412" s="6"/>
      <c r="H412" s="6"/>
    </row>
    <row r="413">
      <c r="F413" s="6"/>
      <c r="G413" s="6"/>
      <c r="H413" s="6"/>
    </row>
    <row r="414">
      <c r="F414" s="6"/>
      <c r="G414" s="6"/>
      <c r="H414" s="6"/>
    </row>
    <row r="415">
      <c r="F415" s="6"/>
      <c r="G415" s="6"/>
      <c r="H415" s="6"/>
    </row>
    <row r="416">
      <c r="F416" s="6"/>
      <c r="G416" s="6"/>
      <c r="H416" s="6"/>
    </row>
    <row r="417">
      <c r="F417" s="6"/>
      <c r="G417" s="6"/>
      <c r="H417" s="6"/>
    </row>
    <row r="418">
      <c r="F418" s="6"/>
      <c r="G418" s="6"/>
      <c r="H418" s="6"/>
    </row>
    <row r="419">
      <c r="F419" s="6"/>
      <c r="G419" s="6"/>
      <c r="H419" s="6"/>
    </row>
    <row r="420">
      <c r="F420" s="6"/>
      <c r="G420" s="6"/>
      <c r="H420" s="6"/>
    </row>
    <row r="421">
      <c r="F421" s="6"/>
      <c r="G421" s="6"/>
      <c r="H421" s="6"/>
    </row>
    <row r="422">
      <c r="F422" s="6"/>
      <c r="G422" s="6"/>
      <c r="H422" s="6"/>
    </row>
    <row r="423">
      <c r="F423" s="6"/>
      <c r="G423" s="6"/>
      <c r="H423" s="6"/>
    </row>
    <row r="424">
      <c r="F424" s="6"/>
      <c r="G424" s="6"/>
      <c r="H424" s="6"/>
    </row>
    <row r="425">
      <c r="F425" s="6"/>
      <c r="G425" s="6"/>
      <c r="H425" s="6"/>
    </row>
    <row r="426">
      <c r="F426" s="6"/>
      <c r="G426" s="6"/>
      <c r="H426" s="6"/>
    </row>
    <row r="427">
      <c r="F427" s="6"/>
      <c r="G427" s="6"/>
      <c r="H427" s="6"/>
    </row>
    <row r="428">
      <c r="F428" s="6"/>
      <c r="G428" s="6"/>
      <c r="H428" s="6"/>
    </row>
    <row r="429">
      <c r="F429" s="6"/>
      <c r="G429" s="6"/>
      <c r="H429" s="6"/>
    </row>
    <row r="430">
      <c r="F430" s="6"/>
      <c r="G430" s="6"/>
      <c r="H430" s="6"/>
    </row>
    <row r="431">
      <c r="F431" s="6"/>
      <c r="G431" s="6"/>
      <c r="H431" s="6"/>
    </row>
    <row r="432">
      <c r="F432" s="6"/>
      <c r="G432" s="6"/>
      <c r="H432" s="6"/>
    </row>
    <row r="433">
      <c r="F433" s="6"/>
      <c r="G433" s="6"/>
      <c r="H433" s="6"/>
    </row>
    <row r="434">
      <c r="F434" s="6"/>
      <c r="G434" s="6"/>
      <c r="H434" s="6"/>
    </row>
    <row r="435">
      <c r="F435" s="6"/>
      <c r="G435" s="6"/>
      <c r="H435" s="6"/>
    </row>
    <row r="436">
      <c r="F436" s="6"/>
      <c r="G436" s="6"/>
      <c r="H436" s="6"/>
    </row>
    <row r="437">
      <c r="F437" s="6"/>
      <c r="G437" s="6"/>
      <c r="H437" s="6"/>
    </row>
    <row r="438">
      <c r="F438" s="6"/>
      <c r="G438" s="6"/>
      <c r="H438" s="6"/>
    </row>
    <row r="439">
      <c r="F439" s="6"/>
      <c r="G439" s="6"/>
      <c r="H439" s="6"/>
    </row>
    <row r="440">
      <c r="F440" s="6"/>
      <c r="G440" s="6"/>
      <c r="H440" s="6"/>
    </row>
    <row r="441">
      <c r="F441" s="6"/>
      <c r="G441" s="6"/>
      <c r="H441" s="6"/>
    </row>
    <row r="442">
      <c r="F442" s="6"/>
      <c r="G442" s="6"/>
      <c r="H442" s="6"/>
    </row>
    <row r="443">
      <c r="F443" s="6"/>
      <c r="G443" s="6"/>
      <c r="H443" s="6"/>
    </row>
    <row r="444">
      <c r="F444" s="6"/>
      <c r="G444" s="6"/>
      <c r="H444" s="6"/>
    </row>
    <row r="445">
      <c r="F445" s="6"/>
      <c r="G445" s="6"/>
      <c r="H445" s="6"/>
    </row>
    <row r="446">
      <c r="F446" s="6"/>
      <c r="G446" s="6"/>
      <c r="H446" s="6"/>
    </row>
    <row r="447">
      <c r="F447" s="6"/>
      <c r="G447" s="6"/>
      <c r="H447" s="6"/>
    </row>
    <row r="448">
      <c r="F448" s="6"/>
      <c r="G448" s="6"/>
      <c r="H448" s="6"/>
    </row>
    <row r="449">
      <c r="F449" s="6"/>
      <c r="G449" s="6"/>
      <c r="H449" s="6"/>
    </row>
    <row r="450">
      <c r="F450" s="6"/>
      <c r="G450" s="6"/>
      <c r="H450" s="6"/>
    </row>
    <row r="451">
      <c r="F451" s="6"/>
      <c r="G451" s="6"/>
      <c r="H451" s="6"/>
    </row>
    <row r="452">
      <c r="F452" s="6"/>
      <c r="G452" s="6"/>
      <c r="H452" s="6"/>
    </row>
    <row r="453">
      <c r="F453" s="6"/>
      <c r="G453" s="6"/>
      <c r="H453" s="6"/>
    </row>
    <row r="454">
      <c r="F454" s="6"/>
      <c r="G454" s="6"/>
      <c r="H454" s="6"/>
    </row>
    <row r="455">
      <c r="F455" s="6"/>
      <c r="G455" s="6"/>
      <c r="H455" s="6"/>
    </row>
    <row r="456">
      <c r="F456" s="6"/>
      <c r="G456" s="6"/>
      <c r="H456" s="6"/>
    </row>
    <row r="457">
      <c r="F457" s="6"/>
      <c r="G457" s="6"/>
      <c r="H457" s="6"/>
    </row>
    <row r="458">
      <c r="F458" s="6"/>
      <c r="G458" s="6"/>
      <c r="H458" s="6"/>
    </row>
    <row r="459">
      <c r="F459" s="6"/>
      <c r="G459" s="6"/>
      <c r="H459" s="6"/>
    </row>
    <row r="460">
      <c r="F460" s="6"/>
      <c r="G460" s="6"/>
      <c r="H460" s="6"/>
    </row>
    <row r="461">
      <c r="F461" s="6"/>
      <c r="G461" s="6"/>
      <c r="H461" s="6"/>
    </row>
    <row r="462">
      <c r="F462" s="6"/>
      <c r="G462" s="6"/>
      <c r="H462" s="6"/>
    </row>
    <row r="463">
      <c r="F463" s="6"/>
      <c r="G463" s="6"/>
      <c r="H463" s="6"/>
    </row>
    <row r="464">
      <c r="F464" s="6"/>
      <c r="G464" s="6"/>
      <c r="H464" s="6"/>
    </row>
    <row r="465">
      <c r="F465" s="6"/>
      <c r="G465" s="6"/>
      <c r="H465" s="6"/>
    </row>
    <row r="466">
      <c r="F466" s="6"/>
      <c r="G466" s="6"/>
      <c r="H466" s="6"/>
    </row>
    <row r="467">
      <c r="F467" s="6"/>
      <c r="G467" s="6"/>
      <c r="H467" s="6"/>
    </row>
    <row r="468">
      <c r="F468" s="6"/>
      <c r="G468" s="6"/>
      <c r="H468" s="6"/>
    </row>
    <row r="469">
      <c r="F469" s="6"/>
      <c r="G469" s="6"/>
      <c r="H469" s="6"/>
    </row>
    <row r="470">
      <c r="F470" s="6"/>
      <c r="G470" s="6"/>
      <c r="H470" s="6"/>
    </row>
    <row r="471">
      <c r="F471" s="6"/>
      <c r="G471" s="6"/>
      <c r="H471" s="6"/>
    </row>
    <row r="472">
      <c r="F472" s="6"/>
      <c r="G472" s="6"/>
      <c r="H472" s="6"/>
    </row>
    <row r="473">
      <c r="F473" s="6"/>
      <c r="G473" s="6"/>
      <c r="H473" s="6"/>
    </row>
    <row r="474">
      <c r="F474" s="6"/>
      <c r="G474" s="6"/>
      <c r="H474" s="6"/>
    </row>
    <row r="475">
      <c r="F475" s="6"/>
      <c r="G475" s="6"/>
      <c r="H475" s="6"/>
    </row>
    <row r="476">
      <c r="F476" s="6"/>
      <c r="G476" s="6"/>
      <c r="H476" s="6"/>
    </row>
    <row r="477">
      <c r="F477" s="6"/>
      <c r="G477" s="6"/>
      <c r="H477" s="6"/>
    </row>
    <row r="478">
      <c r="F478" s="6"/>
      <c r="G478" s="6"/>
      <c r="H478" s="6"/>
    </row>
    <row r="479">
      <c r="F479" s="6"/>
      <c r="G479" s="6"/>
      <c r="H479" s="6"/>
    </row>
    <row r="480">
      <c r="F480" s="6"/>
      <c r="G480" s="6"/>
      <c r="H480" s="6"/>
    </row>
    <row r="481">
      <c r="F481" s="6"/>
      <c r="G481" s="6"/>
      <c r="H481" s="6"/>
    </row>
    <row r="482">
      <c r="F482" s="6"/>
      <c r="G482" s="6"/>
      <c r="H482" s="6"/>
    </row>
    <row r="483">
      <c r="F483" s="6"/>
      <c r="G483" s="6"/>
      <c r="H483" s="6"/>
    </row>
    <row r="484">
      <c r="F484" s="6"/>
      <c r="G484" s="6"/>
      <c r="H484" s="6"/>
    </row>
    <row r="485">
      <c r="F485" s="6"/>
      <c r="G485" s="6"/>
      <c r="H485" s="6"/>
    </row>
    <row r="486">
      <c r="F486" s="6"/>
      <c r="G486" s="6"/>
      <c r="H486" s="6"/>
    </row>
    <row r="487">
      <c r="F487" s="6"/>
      <c r="G487" s="6"/>
      <c r="H487" s="6"/>
    </row>
    <row r="488">
      <c r="F488" s="6"/>
      <c r="G488" s="6"/>
      <c r="H488" s="6"/>
    </row>
    <row r="489">
      <c r="F489" s="6"/>
      <c r="G489" s="6"/>
      <c r="H489" s="6"/>
    </row>
    <row r="490">
      <c r="F490" s="6"/>
      <c r="G490" s="6"/>
      <c r="H490" s="6"/>
    </row>
    <row r="491">
      <c r="F491" s="6"/>
      <c r="G491" s="6"/>
      <c r="H491" s="6"/>
    </row>
    <row r="492">
      <c r="F492" s="6"/>
      <c r="G492" s="6"/>
      <c r="H492" s="6"/>
    </row>
    <row r="493">
      <c r="F493" s="6"/>
      <c r="G493" s="6"/>
      <c r="H493" s="6"/>
    </row>
    <row r="494">
      <c r="F494" s="6"/>
      <c r="G494" s="6"/>
      <c r="H494" s="6"/>
    </row>
    <row r="495">
      <c r="F495" s="6"/>
      <c r="G495" s="6"/>
      <c r="H495" s="6"/>
    </row>
    <row r="496">
      <c r="F496" s="6"/>
      <c r="G496" s="6"/>
      <c r="H496" s="6"/>
    </row>
    <row r="497">
      <c r="F497" s="6"/>
      <c r="G497" s="6"/>
      <c r="H497" s="6"/>
    </row>
    <row r="498">
      <c r="F498" s="6"/>
      <c r="G498" s="6"/>
      <c r="H498" s="6"/>
    </row>
    <row r="499">
      <c r="F499" s="6"/>
      <c r="G499" s="6"/>
      <c r="H499" s="6"/>
    </row>
    <row r="500">
      <c r="F500" s="6"/>
      <c r="G500" s="6"/>
      <c r="H500" s="6"/>
    </row>
    <row r="501">
      <c r="F501" s="6"/>
      <c r="G501" s="6"/>
      <c r="H501" s="6"/>
    </row>
    <row r="502">
      <c r="F502" s="6"/>
      <c r="G502" s="6"/>
      <c r="H502" s="6"/>
    </row>
    <row r="503">
      <c r="F503" s="6"/>
      <c r="G503" s="6"/>
      <c r="H503" s="6"/>
    </row>
    <row r="504">
      <c r="F504" s="6"/>
      <c r="G504" s="6"/>
      <c r="H504" s="6"/>
    </row>
    <row r="505">
      <c r="F505" s="6"/>
      <c r="G505" s="6"/>
      <c r="H505" s="6"/>
    </row>
    <row r="506">
      <c r="F506" s="6"/>
      <c r="G506" s="6"/>
      <c r="H506" s="6"/>
    </row>
    <row r="507">
      <c r="F507" s="6"/>
      <c r="G507" s="6"/>
      <c r="H507" s="6"/>
    </row>
    <row r="508">
      <c r="F508" s="6"/>
      <c r="G508" s="6"/>
      <c r="H508" s="6"/>
    </row>
    <row r="509">
      <c r="F509" s="6"/>
      <c r="G509" s="6"/>
      <c r="H509" s="6"/>
    </row>
    <row r="510">
      <c r="F510" s="6"/>
      <c r="G510" s="6"/>
      <c r="H510" s="6"/>
    </row>
    <row r="511">
      <c r="F511" s="6"/>
      <c r="G511" s="6"/>
      <c r="H511" s="6"/>
    </row>
    <row r="512">
      <c r="F512" s="6"/>
      <c r="G512" s="6"/>
      <c r="H512" s="6"/>
    </row>
    <row r="513">
      <c r="F513" s="6"/>
      <c r="G513" s="6"/>
      <c r="H513" s="6"/>
    </row>
    <row r="514">
      <c r="F514" s="6"/>
      <c r="G514" s="6"/>
      <c r="H514" s="6"/>
    </row>
    <row r="515">
      <c r="F515" s="6"/>
      <c r="G515" s="6"/>
      <c r="H515" s="6"/>
    </row>
    <row r="516">
      <c r="F516" s="6"/>
      <c r="G516" s="6"/>
      <c r="H516" s="6"/>
    </row>
    <row r="517">
      <c r="F517" s="6"/>
      <c r="G517" s="6"/>
      <c r="H517" s="6"/>
    </row>
    <row r="518">
      <c r="F518" s="6"/>
      <c r="G518" s="6"/>
      <c r="H518" s="6"/>
    </row>
    <row r="519">
      <c r="F519" s="6"/>
      <c r="G519" s="6"/>
      <c r="H519" s="6"/>
    </row>
    <row r="520">
      <c r="F520" s="6"/>
      <c r="G520" s="6"/>
      <c r="H520" s="6"/>
    </row>
    <row r="521">
      <c r="F521" s="6"/>
      <c r="G521" s="6"/>
      <c r="H521" s="6"/>
    </row>
    <row r="522">
      <c r="F522" s="6"/>
      <c r="G522" s="6"/>
      <c r="H522" s="6"/>
    </row>
    <row r="523">
      <c r="F523" s="6"/>
      <c r="G523" s="6"/>
      <c r="H523" s="6"/>
    </row>
    <row r="524">
      <c r="F524" s="6"/>
      <c r="G524" s="6"/>
      <c r="H524" s="6"/>
    </row>
    <row r="525">
      <c r="F525" s="6"/>
      <c r="G525" s="6"/>
      <c r="H525" s="6"/>
    </row>
    <row r="526">
      <c r="F526" s="6"/>
      <c r="G526" s="6"/>
      <c r="H526" s="6"/>
    </row>
    <row r="527">
      <c r="F527" s="6"/>
      <c r="G527" s="6"/>
      <c r="H527" s="6"/>
    </row>
    <row r="528">
      <c r="F528" s="6"/>
      <c r="G528" s="6"/>
      <c r="H528" s="6"/>
    </row>
    <row r="529">
      <c r="F529" s="6"/>
      <c r="G529" s="6"/>
      <c r="H529" s="6"/>
    </row>
    <row r="530">
      <c r="F530" s="6"/>
      <c r="G530" s="6"/>
      <c r="H530" s="6"/>
    </row>
    <row r="531">
      <c r="F531" s="6"/>
      <c r="G531" s="6"/>
      <c r="H531" s="6"/>
    </row>
    <row r="532">
      <c r="F532" s="6"/>
      <c r="G532" s="6"/>
      <c r="H532" s="6"/>
    </row>
    <row r="533">
      <c r="F533" s="6"/>
      <c r="G533" s="6"/>
      <c r="H533" s="6"/>
    </row>
    <row r="534">
      <c r="F534" s="6"/>
      <c r="G534" s="6"/>
      <c r="H534" s="6"/>
    </row>
    <row r="535">
      <c r="F535" s="6"/>
      <c r="G535" s="6"/>
      <c r="H535" s="6"/>
    </row>
    <row r="536">
      <c r="F536" s="6"/>
      <c r="G536" s="6"/>
      <c r="H536" s="6"/>
    </row>
    <row r="537">
      <c r="F537" s="6"/>
      <c r="G537" s="6"/>
      <c r="H537" s="6"/>
    </row>
    <row r="538">
      <c r="F538" s="6"/>
      <c r="G538" s="6"/>
      <c r="H538" s="6"/>
    </row>
    <row r="539">
      <c r="F539" s="6"/>
      <c r="G539" s="6"/>
      <c r="H539" s="6"/>
    </row>
    <row r="540">
      <c r="F540" s="6"/>
      <c r="G540" s="6"/>
      <c r="H540" s="6"/>
    </row>
    <row r="541">
      <c r="F541" s="6"/>
      <c r="G541" s="6"/>
      <c r="H541" s="6"/>
    </row>
    <row r="542">
      <c r="F542" s="6"/>
      <c r="G542" s="6"/>
      <c r="H542" s="6"/>
    </row>
    <row r="543">
      <c r="F543" s="6"/>
      <c r="G543" s="6"/>
      <c r="H543" s="6"/>
    </row>
    <row r="544">
      <c r="F544" s="6"/>
      <c r="G544" s="6"/>
      <c r="H544" s="6"/>
    </row>
    <row r="545">
      <c r="F545" s="6"/>
      <c r="G545" s="6"/>
      <c r="H545" s="6"/>
    </row>
    <row r="546">
      <c r="F546" s="6"/>
      <c r="G546" s="6"/>
      <c r="H546" s="6"/>
    </row>
    <row r="547">
      <c r="F547" s="6"/>
      <c r="G547" s="6"/>
      <c r="H547" s="6"/>
    </row>
    <row r="548">
      <c r="F548" s="6"/>
      <c r="G548" s="6"/>
      <c r="H548" s="6"/>
    </row>
    <row r="549">
      <c r="F549" s="6"/>
      <c r="G549" s="6"/>
      <c r="H549" s="6"/>
    </row>
    <row r="550">
      <c r="F550" s="6"/>
      <c r="G550" s="6"/>
      <c r="H550" s="6"/>
    </row>
    <row r="551">
      <c r="F551" s="6"/>
      <c r="G551" s="6"/>
      <c r="H551" s="6"/>
    </row>
    <row r="552">
      <c r="F552" s="6"/>
      <c r="G552" s="6"/>
      <c r="H552" s="6"/>
    </row>
    <row r="553">
      <c r="F553" s="6"/>
      <c r="G553" s="6"/>
      <c r="H553" s="6"/>
    </row>
    <row r="554">
      <c r="F554" s="6"/>
      <c r="G554" s="6"/>
      <c r="H554" s="6"/>
    </row>
    <row r="555">
      <c r="F555" s="6"/>
      <c r="G555" s="6"/>
      <c r="H555" s="6"/>
    </row>
    <row r="556">
      <c r="F556" s="6"/>
      <c r="G556" s="6"/>
      <c r="H556" s="6"/>
    </row>
    <row r="557">
      <c r="F557" s="6"/>
      <c r="G557" s="6"/>
      <c r="H557" s="6"/>
    </row>
    <row r="558">
      <c r="F558" s="6"/>
      <c r="G558" s="6"/>
      <c r="H558" s="6"/>
    </row>
    <row r="559">
      <c r="F559" s="6"/>
      <c r="G559" s="6"/>
      <c r="H559" s="6"/>
    </row>
    <row r="560">
      <c r="F560" s="6"/>
      <c r="G560" s="6"/>
      <c r="H560" s="6"/>
    </row>
    <row r="561">
      <c r="F561" s="6"/>
      <c r="G561" s="6"/>
      <c r="H561" s="6"/>
    </row>
    <row r="562">
      <c r="F562" s="6"/>
      <c r="G562" s="6"/>
      <c r="H562" s="6"/>
    </row>
    <row r="563">
      <c r="F563" s="6"/>
      <c r="G563" s="6"/>
      <c r="H563" s="6"/>
    </row>
    <row r="564">
      <c r="F564" s="6"/>
      <c r="G564" s="6"/>
      <c r="H564" s="6"/>
    </row>
    <row r="565">
      <c r="F565" s="6"/>
      <c r="G565" s="6"/>
      <c r="H565" s="6"/>
    </row>
    <row r="566">
      <c r="F566" s="6"/>
      <c r="G566" s="6"/>
      <c r="H566" s="6"/>
    </row>
    <row r="567">
      <c r="F567" s="6"/>
      <c r="G567" s="6"/>
      <c r="H567" s="6"/>
    </row>
    <row r="568">
      <c r="F568" s="6"/>
      <c r="G568" s="6"/>
      <c r="H568" s="6"/>
    </row>
    <row r="569">
      <c r="F569" s="6"/>
      <c r="G569" s="6"/>
      <c r="H569" s="6"/>
    </row>
    <row r="570">
      <c r="F570" s="6"/>
      <c r="G570" s="6"/>
      <c r="H570" s="6"/>
    </row>
    <row r="571">
      <c r="F571" s="6"/>
      <c r="G571" s="6"/>
      <c r="H571" s="6"/>
    </row>
    <row r="572">
      <c r="F572" s="6"/>
      <c r="G572" s="6"/>
      <c r="H572" s="6"/>
    </row>
    <row r="573">
      <c r="F573" s="6"/>
      <c r="G573" s="6"/>
      <c r="H573" s="6"/>
    </row>
    <row r="574">
      <c r="F574" s="6"/>
      <c r="G574" s="6"/>
      <c r="H574" s="6"/>
    </row>
    <row r="575">
      <c r="F575" s="6"/>
      <c r="G575" s="6"/>
      <c r="H575" s="6"/>
    </row>
    <row r="576">
      <c r="F576" s="6"/>
      <c r="G576" s="6"/>
      <c r="H576" s="6"/>
    </row>
    <row r="577">
      <c r="F577" s="6"/>
      <c r="G577" s="6"/>
      <c r="H577" s="6"/>
    </row>
    <row r="578">
      <c r="F578" s="6"/>
      <c r="G578" s="6"/>
      <c r="H578" s="6"/>
    </row>
    <row r="579">
      <c r="F579" s="6"/>
      <c r="G579" s="6"/>
      <c r="H579" s="6"/>
    </row>
    <row r="580">
      <c r="F580" s="6"/>
      <c r="G580" s="6"/>
      <c r="H580" s="6"/>
    </row>
    <row r="581">
      <c r="F581" s="6"/>
      <c r="G581" s="6"/>
      <c r="H581" s="6"/>
    </row>
    <row r="582">
      <c r="F582" s="6"/>
      <c r="G582" s="6"/>
      <c r="H582" s="6"/>
    </row>
    <row r="583">
      <c r="F583" s="6"/>
      <c r="G583" s="6"/>
      <c r="H583" s="6"/>
    </row>
    <row r="584">
      <c r="F584" s="6"/>
      <c r="G584" s="6"/>
      <c r="H584" s="6"/>
    </row>
    <row r="585">
      <c r="F585" s="6"/>
      <c r="G585" s="6"/>
      <c r="H585" s="6"/>
    </row>
    <row r="586">
      <c r="F586" s="6"/>
      <c r="G586" s="6"/>
      <c r="H586" s="6"/>
    </row>
    <row r="587">
      <c r="F587" s="6"/>
      <c r="G587" s="6"/>
      <c r="H587" s="6"/>
    </row>
    <row r="588">
      <c r="F588" s="6"/>
      <c r="G588" s="6"/>
      <c r="H588" s="6"/>
    </row>
    <row r="589">
      <c r="F589" s="6"/>
      <c r="G589" s="6"/>
      <c r="H589" s="6"/>
    </row>
    <row r="590">
      <c r="F590" s="6"/>
      <c r="G590" s="6"/>
      <c r="H590" s="6"/>
    </row>
    <row r="591">
      <c r="F591" s="6"/>
      <c r="G591" s="6"/>
      <c r="H591" s="6"/>
    </row>
    <row r="592">
      <c r="F592" s="6"/>
      <c r="G592" s="6"/>
      <c r="H592" s="6"/>
    </row>
    <row r="593">
      <c r="F593" s="6"/>
      <c r="G593" s="6"/>
      <c r="H593" s="6"/>
    </row>
    <row r="594">
      <c r="F594" s="6"/>
      <c r="G594" s="6"/>
      <c r="H594" s="6"/>
    </row>
    <row r="595">
      <c r="F595" s="6"/>
      <c r="G595" s="6"/>
      <c r="H595" s="6"/>
    </row>
    <row r="596">
      <c r="F596" s="6"/>
      <c r="G596" s="6"/>
      <c r="H596" s="6"/>
    </row>
    <row r="597">
      <c r="F597" s="6"/>
      <c r="G597" s="6"/>
      <c r="H597" s="6"/>
    </row>
    <row r="598">
      <c r="F598" s="6"/>
      <c r="G598" s="6"/>
      <c r="H598" s="6"/>
    </row>
    <row r="599">
      <c r="F599" s="6"/>
      <c r="G599" s="6"/>
      <c r="H599" s="6"/>
    </row>
    <row r="600">
      <c r="F600" s="6"/>
      <c r="G600" s="6"/>
      <c r="H600" s="6"/>
    </row>
    <row r="601">
      <c r="F601" s="6"/>
      <c r="G601" s="6"/>
      <c r="H601" s="6"/>
    </row>
    <row r="602">
      <c r="F602" s="6"/>
      <c r="G602" s="6"/>
      <c r="H602" s="6"/>
    </row>
    <row r="603">
      <c r="F603" s="6"/>
      <c r="G603" s="6"/>
      <c r="H603" s="6"/>
    </row>
    <row r="604">
      <c r="F604" s="6"/>
      <c r="G604" s="6"/>
      <c r="H604" s="6"/>
    </row>
    <row r="605">
      <c r="F605" s="6"/>
      <c r="G605" s="6"/>
      <c r="H605" s="6"/>
    </row>
    <row r="606">
      <c r="F606" s="6"/>
      <c r="G606" s="6"/>
      <c r="H606" s="6"/>
    </row>
    <row r="607">
      <c r="F607" s="6"/>
      <c r="G607" s="6"/>
      <c r="H607" s="6"/>
    </row>
    <row r="608">
      <c r="F608" s="6"/>
      <c r="G608" s="6"/>
      <c r="H608" s="6"/>
    </row>
    <row r="609">
      <c r="F609" s="6"/>
      <c r="G609" s="6"/>
      <c r="H609" s="6"/>
    </row>
    <row r="610">
      <c r="F610" s="6"/>
      <c r="G610" s="6"/>
      <c r="H610" s="6"/>
    </row>
    <row r="611">
      <c r="F611" s="6"/>
      <c r="G611" s="6"/>
      <c r="H611" s="6"/>
    </row>
    <row r="612">
      <c r="F612" s="6"/>
      <c r="G612" s="6"/>
      <c r="H612" s="6"/>
    </row>
    <row r="613">
      <c r="F613" s="6"/>
      <c r="G613" s="6"/>
      <c r="H613" s="6"/>
    </row>
    <row r="614">
      <c r="F614" s="6"/>
      <c r="G614" s="6"/>
      <c r="H614" s="6"/>
    </row>
    <row r="615">
      <c r="F615" s="6"/>
      <c r="G615" s="6"/>
      <c r="H615" s="6"/>
    </row>
    <row r="616">
      <c r="F616" s="6"/>
      <c r="G616" s="6"/>
      <c r="H616" s="6"/>
    </row>
    <row r="617">
      <c r="F617" s="6"/>
      <c r="G617" s="6"/>
      <c r="H617" s="6"/>
    </row>
    <row r="618">
      <c r="F618" s="6"/>
      <c r="G618" s="6"/>
      <c r="H618" s="6"/>
    </row>
    <row r="619">
      <c r="F619" s="6"/>
      <c r="G619" s="6"/>
      <c r="H619" s="6"/>
    </row>
    <row r="620">
      <c r="F620" s="6"/>
      <c r="G620" s="6"/>
      <c r="H620" s="6"/>
    </row>
    <row r="621">
      <c r="F621" s="6"/>
      <c r="G621" s="6"/>
      <c r="H621" s="6"/>
    </row>
    <row r="622">
      <c r="F622" s="6"/>
      <c r="G622" s="6"/>
      <c r="H622" s="6"/>
    </row>
    <row r="623">
      <c r="F623" s="6"/>
      <c r="G623" s="6"/>
      <c r="H623" s="6"/>
    </row>
    <row r="624">
      <c r="F624" s="6"/>
      <c r="G624" s="6"/>
      <c r="H624" s="6"/>
    </row>
    <row r="625">
      <c r="F625" s="6"/>
      <c r="G625" s="6"/>
      <c r="H625" s="6"/>
    </row>
    <row r="626">
      <c r="F626" s="6"/>
      <c r="G626" s="6"/>
      <c r="H626" s="6"/>
    </row>
    <row r="627">
      <c r="F627" s="6"/>
      <c r="G627" s="6"/>
      <c r="H627" s="6"/>
    </row>
    <row r="628">
      <c r="F628" s="6"/>
      <c r="G628" s="6"/>
      <c r="H628" s="6"/>
    </row>
    <row r="629">
      <c r="F629" s="6"/>
      <c r="G629" s="6"/>
      <c r="H629" s="6"/>
    </row>
    <row r="630">
      <c r="F630" s="6"/>
      <c r="G630" s="6"/>
      <c r="H630" s="6"/>
    </row>
    <row r="631">
      <c r="F631" s="6"/>
      <c r="G631" s="6"/>
      <c r="H631" s="6"/>
    </row>
    <row r="632">
      <c r="F632" s="6"/>
      <c r="G632" s="6"/>
      <c r="H632" s="6"/>
    </row>
    <row r="633">
      <c r="F633" s="6"/>
      <c r="G633" s="6"/>
      <c r="H633" s="6"/>
    </row>
    <row r="634">
      <c r="F634" s="6"/>
      <c r="G634" s="6"/>
      <c r="H634" s="6"/>
    </row>
    <row r="635">
      <c r="F635" s="6"/>
      <c r="G635" s="6"/>
      <c r="H635" s="6"/>
    </row>
    <row r="636">
      <c r="F636" s="6"/>
      <c r="G636" s="6"/>
      <c r="H636" s="6"/>
    </row>
    <row r="637">
      <c r="F637" s="6"/>
      <c r="G637" s="6"/>
      <c r="H637" s="6"/>
    </row>
    <row r="638">
      <c r="F638" s="6"/>
      <c r="G638" s="6"/>
      <c r="H638" s="6"/>
    </row>
    <row r="639">
      <c r="F639" s="6"/>
      <c r="G639" s="6"/>
      <c r="H639" s="6"/>
    </row>
    <row r="640">
      <c r="F640" s="6"/>
      <c r="G640" s="6"/>
      <c r="H640" s="6"/>
    </row>
    <row r="641">
      <c r="F641" s="6"/>
      <c r="G641" s="6"/>
      <c r="H641" s="6"/>
    </row>
    <row r="642">
      <c r="F642" s="6"/>
      <c r="G642" s="6"/>
      <c r="H642" s="6"/>
    </row>
    <row r="643">
      <c r="F643" s="6"/>
      <c r="G643" s="6"/>
      <c r="H643" s="6"/>
    </row>
    <row r="644">
      <c r="F644" s="6"/>
      <c r="G644" s="6"/>
      <c r="H644" s="6"/>
    </row>
    <row r="645">
      <c r="F645" s="6"/>
      <c r="G645" s="6"/>
      <c r="H645" s="6"/>
    </row>
    <row r="646">
      <c r="F646" s="6"/>
      <c r="G646" s="6"/>
      <c r="H646" s="6"/>
    </row>
    <row r="647">
      <c r="F647" s="6"/>
      <c r="G647" s="6"/>
      <c r="H647" s="6"/>
    </row>
    <row r="648">
      <c r="F648" s="6"/>
      <c r="G648" s="6"/>
      <c r="H648" s="6"/>
    </row>
    <row r="649">
      <c r="F649" s="6"/>
      <c r="G649" s="6"/>
      <c r="H649" s="6"/>
    </row>
    <row r="650">
      <c r="F650" s="6"/>
      <c r="G650" s="6"/>
      <c r="H650" s="6"/>
    </row>
    <row r="651">
      <c r="F651" s="6"/>
      <c r="G651" s="6"/>
      <c r="H651" s="6"/>
    </row>
    <row r="652">
      <c r="F652" s="6"/>
      <c r="G652" s="6"/>
      <c r="H652" s="6"/>
    </row>
    <row r="653">
      <c r="F653" s="6"/>
      <c r="G653" s="6"/>
      <c r="H653" s="6"/>
    </row>
    <row r="654">
      <c r="F654" s="6"/>
      <c r="G654" s="6"/>
      <c r="H654" s="6"/>
    </row>
    <row r="655">
      <c r="F655" s="6"/>
      <c r="G655" s="6"/>
      <c r="H655" s="6"/>
    </row>
    <row r="656">
      <c r="F656" s="6"/>
      <c r="G656" s="6"/>
      <c r="H656" s="6"/>
    </row>
    <row r="657">
      <c r="F657" s="6"/>
      <c r="G657" s="6"/>
      <c r="H657" s="6"/>
    </row>
    <row r="658">
      <c r="F658" s="6"/>
      <c r="G658" s="6"/>
      <c r="H658" s="6"/>
    </row>
    <row r="659">
      <c r="F659" s="6"/>
      <c r="G659" s="6"/>
      <c r="H659" s="6"/>
    </row>
    <row r="660">
      <c r="F660" s="6"/>
      <c r="G660" s="6"/>
      <c r="H660" s="6"/>
    </row>
    <row r="661">
      <c r="F661" s="6"/>
      <c r="G661" s="6"/>
      <c r="H661" s="6"/>
    </row>
    <row r="662">
      <c r="F662" s="6"/>
      <c r="G662" s="6"/>
      <c r="H662" s="6"/>
    </row>
    <row r="663">
      <c r="F663" s="6"/>
      <c r="G663" s="6"/>
      <c r="H663" s="6"/>
    </row>
    <row r="664">
      <c r="F664" s="6"/>
      <c r="G664" s="6"/>
      <c r="H664" s="6"/>
    </row>
    <row r="665">
      <c r="F665" s="6"/>
      <c r="G665" s="6"/>
      <c r="H665" s="6"/>
    </row>
    <row r="666">
      <c r="F666" s="6"/>
      <c r="G666" s="6"/>
      <c r="H666" s="6"/>
    </row>
    <row r="667">
      <c r="F667" s="6"/>
      <c r="G667" s="6"/>
      <c r="H667" s="6"/>
    </row>
    <row r="668">
      <c r="F668" s="6"/>
      <c r="G668" s="6"/>
      <c r="H668" s="6"/>
    </row>
    <row r="669">
      <c r="F669" s="6"/>
      <c r="G669" s="6"/>
      <c r="H669" s="6"/>
    </row>
    <row r="670">
      <c r="F670" s="6"/>
      <c r="G670" s="6"/>
      <c r="H670" s="6"/>
    </row>
    <row r="671">
      <c r="F671" s="6"/>
      <c r="G671" s="6"/>
      <c r="H671" s="6"/>
    </row>
    <row r="672">
      <c r="F672" s="6"/>
      <c r="G672" s="6"/>
      <c r="H672" s="6"/>
    </row>
    <row r="673">
      <c r="F673" s="6"/>
      <c r="G673" s="6"/>
      <c r="H673" s="6"/>
    </row>
    <row r="674">
      <c r="F674" s="6"/>
      <c r="G674" s="6"/>
      <c r="H674" s="6"/>
    </row>
    <row r="675">
      <c r="F675" s="6"/>
      <c r="G675" s="6"/>
      <c r="H675" s="6"/>
    </row>
    <row r="676">
      <c r="F676" s="6"/>
      <c r="G676" s="6"/>
      <c r="H676" s="6"/>
    </row>
    <row r="677">
      <c r="F677" s="6"/>
      <c r="G677" s="6"/>
      <c r="H677" s="6"/>
    </row>
    <row r="678">
      <c r="F678" s="6"/>
      <c r="G678" s="6"/>
      <c r="H678" s="6"/>
    </row>
    <row r="679">
      <c r="F679" s="6"/>
      <c r="G679" s="6"/>
      <c r="H679" s="6"/>
    </row>
    <row r="680">
      <c r="F680" s="6"/>
      <c r="G680" s="6"/>
      <c r="H680" s="6"/>
    </row>
    <row r="681">
      <c r="F681" s="6"/>
      <c r="G681" s="6"/>
      <c r="H681" s="6"/>
    </row>
    <row r="682">
      <c r="F682" s="6"/>
      <c r="G682" s="6"/>
      <c r="H682" s="6"/>
    </row>
    <row r="683">
      <c r="F683" s="6"/>
      <c r="G683" s="6"/>
      <c r="H683" s="6"/>
    </row>
    <row r="684">
      <c r="F684" s="6"/>
      <c r="G684" s="6"/>
      <c r="H684" s="6"/>
    </row>
    <row r="685">
      <c r="F685" s="6"/>
      <c r="G685" s="6"/>
      <c r="H685" s="6"/>
    </row>
    <row r="686">
      <c r="F686" s="6"/>
      <c r="G686" s="6"/>
      <c r="H686" s="6"/>
    </row>
    <row r="687">
      <c r="F687" s="6"/>
      <c r="G687" s="6"/>
      <c r="H687" s="6"/>
    </row>
    <row r="688">
      <c r="F688" s="6"/>
      <c r="G688" s="6"/>
      <c r="H688" s="6"/>
    </row>
    <row r="689">
      <c r="F689" s="6"/>
      <c r="G689" s="6"/>
      <c r="H689" s="6"/>
    </row>
    <row r="690">
      <c r="F690" s="6"/>
      <c r="G690" s="6"/>
      <c r="H690" s="6"/>
    </row>
    <row r="691">
      <c r="F691" s="6"/>
      <c r="G691" s="6"/>
      <c r="H691" s="6"/>
    </row>
    <row r="692">
      <c r="F692" s="6"/>
      <c r="G692" s="6"/>
      <c r="H692" s="6"/>
    </row>
    <row r="693">
      <c r="F693" s="6"/>
      <c r="G693" s="6"/>
      <c r="H693" s="6"/>
    </row>
    <row r="694">
      <c r="F694" s="6"/>
      <c r="G694" s="6"/>
      <c r="H694" s="6"/>
    </row>
    <row r="695">
      <c r="F695" s="6"/>
      <c r="G695" s="6"/>
      <c r="H695" s="6"/>
    </row>
    <row r="696">
      <c r="F696" s="6"/>
      <c r="G696" s="6"/>
      <c r="H696" s="6"/>
    </row>
    <row r="697">
      <c r="F697" s="6"/>
      <c r="G697" s="6"/>
      <c r="H697" s="6"/>
    </row>
    <row r="698">
      <c r="F698" s="6"/>
      <c r="G698" s="6"/>
      <c r="H698" s="6"/>
    </row>
    <row r="699">
      <c r="F699" s="6"/>
      <c r="G699" s="6"/>
      <c r="H699" s="6"/>
    </row>
    <row r="700">
      <c r="F700" s="6"/>
      <c r="G700" s="6"/>
      <c r="H700" s="6"/>
    </row>
    <row r="701">
      <c r="F701" s="6"/>
      <c r="G701" s="6"/>
      <c r="H701" s="6"/>
    </row>
    <row r="702">
      <c r="F702" s="6"/>
      <c r="G702" s="6"/>
      <c r="H702" s="6"/>
    </row>
    <row r="703">
      <c r="F703" s="6"/>
      <c r="G703" s="6"/>
      <c r="H703" s="6"/>
    </row>
    <row r="704">
      <c r="F704" s="6"/>
      <c r="G704" s="6"/>
      <c r="H704" s="6"/>
    </row>
    <row r="705">
      <c r="F705" s="6"/>
      <c r="G705" s="6"/>
      <c r="H705" s="6"/>
    </row>
    <row r="706">
      <c r="F706" s="6"/>
      <c r="G706" s="6"/>
      <c r="H706" s="6"/>
    </row>
    <row r="707">
      <c r="F707" s="6"/>
      <c r="G707" s="6"/>
      <c r="H707" s="6"/>
    </row>
    <row r="708">
      <c r="F708" s="6"/>
      <c r="G708" s="6"/>
      <c r="H708" s="6"/>
    </row>
    <row r="709">
      <c r="F709" s="6"/>
      <c r="G709" s="6"/>
      <c r="H709" s="6"/>
    </row>
    <row r="710">
      <c r="F710" s="6"/>
      <c r="G710" s="6"/>
      <c r="H710" s="6"/>
    </row>
    <row r="711">
      <c r="F711" s="6"/>
      <c r="G711" s="6"/>
      <c r="H711" s="6"/>
    </row>
    <row r="712">
      <c r="F712" s="6"/>
      <c r="G712" s="6"/>
      <c r="H712" s="6"/>
    </row>
    <row r="713">
      <c r="F713" s="6"/>
      <c r="G713" s="6"/>
      <c r="H713" s="6"/>
    </row>
    <row r="714">
      <c r="F714" s="6"/>
      <c r="G714" s="6"/>
      <c r="H714" s="6"/>
    </row>
    <row r="715">
      <c r="F715" s="6"/>
      <c r="G715" s="6"/>
      <c r="H715" s="6"/>
    </row>
    <row r="716">
      <c r="F716" s="6"/>
      <c r="G716" s="6"/>
      <c r="H716" s="6"/>
    </row>
    <row r="717">
      <c r="F717" s="6"/>
      <c r="G717" s="6"/>
      <c r="H717" s="6"/>
    </row>
    <row r="718">
      <c r="F718" s="6"/>
      <c r="G718" s="6"/>
      <c r="H718" s="6"/>
    </row>
    <row r="719">
      <c r="F719" s="6"/>
      <c r="G719" s="6"/>
      <c r="H719" s="6"/>
    </row>
    <row r="720">
      <c r="F720" s="6"/>
      <c r="G720" s="6"/>
      <c r="H720" s="6"/>
    </row>
    <row r="721">
      <c r="F721" s="6"/>
      <c r="G721" s="6"/>
      <c r="H721" s="6"/>
    </row>
    <row r="722">
      <c r="F722" s="6"/>
      <c r="G722" s="6"/>
      <c r="H722" s="6"/>
    </row>
    <row r="723">
      <c r="F723" s="6"/>
      <c r="G723" s="6"/>
      <c r="H723" s="6"/>
    </row>
    <row r="724">
      <c r="F724" s="6"/>
      <c r="G724" s="6"/>
      <c r="H724" s="6"/>
    </row>
    <row r="725">
      <c r="F725" s="6"/>
      <c r="G725" s="6"/>
      <c r="H725" s="6"/>
    </row>
    <row r="726">
      <c r="F726" s="6"/>
      <c r="G726" s="6"/>
      <c r="H726" s="6"/>
    </row>
    <row r="727">
      <c r="F727" s="6"/>
      <c r="G727" s="6"/>
      <c r="H727" s="6"/>
    </row>
    <row r="728">
      <c r="F728" s="6"/>
      <c r="G728" s="6"/>
      <c r="H728" s="6"/>
    </row>
    <row r="729">
      <c r="F729" s="6"/>
      <c r="G729" s="6"/>
      <c r="H729" s="6"/>
    </row>
    <row r="730">
      <c r="F730" s="6"/>
      <c r="G730" s="6"/>
      <c r="H730" s="6"/>
    </row>
    <row r="731">
      <c r="F731" s="6"/>
      <c r="G731" s="6"/>
      <c r="H731" s="6"/>
    </row>
    <row r="732">
      <c r="F732" s="6"/>
      <c r="G732" s="6"/>
      <c r="H732" s="6"/>
    </row>
    <row r="733">
      <c r="F733" s="6"/>
      <c r="G733" s="6"/>
      <c r="H733" s="6"/>
    </row>
    <row r="734">
      <c r="F734" s="6"/>
      <c r="G734" s="6"/>
      <c r="H734" s="6"/>
    </row>
    <row r="735">
      <c r="F735" s="6"/>
      <c r="G735" s="6"/>
      <c r="H735" s="6"/>
    </row>
    <row r="736">
      <c r="F736" s="6"/>
      <c r="G736" s="6"/>
      <c r="H736" s="6"/>
    </row>
    <row r="737">
      <c r="F737" s="6"/>
      <c r="G737" s="6"/>
      <c r="H737" s="6"/>
    </row>
    <row r="738">
      <c r="F738" s="6"/>
      <c r="G738" s="6"/>
      <c r="H738" s="6"/>
    </row>
    <row r="739">
      <c r="F739" s="6"/>
      <c r="G739" s="6"/>
      <c r="H739" s="6"/>
    </row>
    <row r="740">
      <c r="F740" s="6"/>
      <c r="G740" s="6"/>
      <c r="H740" s="6"/>
    </row>
    <row r="741">
      <c r="F741" s="6"/>
      <c r="G741" s="6"/>
      <c r="H741" s="6"/>
    </row>
    <row r="742">
      <c r="F742" s="6"/>
      <c r="G742" s="6"/>
      <c r="H742" s="6"/>
    </row>
    <row r="743">
      <c r="F743" s="6"/>
      <c r="G743" s="6"/>
      <c r="H743" s="6"/>
    </row>
    <row r="744">
      <c r="F744" s="6"/>
      <c r="G744" s="6"/>
      <c r="H744" s="6"/>
    </row>
    <row r="745">
      <c r="F745" s="6"/>
      <c r="G745" s="6"/>
      <c r="H745" s="6"/>
    </row>
    <row r="746">
      <c r="F746" s="6"/>
      <c r="G746" s="6"/>
      <c r="H746" s="6"/>
    </row>
    <row r="747">
      <c r="F747" s="6"/>
      <c r="G747" s="6"/>
      <c r="H747" s="6"/>
    </row>
    <row r="748">
      <c r="F748" s="6"/>
      <c r="G748" s="6"/>
      <c r="H748" s="6"/>
    </row>
    <row r="749">
      <c r="F749" s="6"/>
      <c r="G749" s="6"/>
      <c r="H749" s="6"/>
    </row>
    <row r="750">
      <c r="F750" s="6"/>
      <c r="G750" s="6"/>
      <c r="H750" s="6"/>
    </row>
    <row r="751">
      <c r="F751" s="6"/>
      <c r="G751" s="6"/>
      <c r="H751" s="6"/>
    </row>
    <row r="752">
      <c r="F752" s="6"/>
      <c r="G752" s="6"/>
      <c r="H752" s="6"/>
    </row>
    <row r="753">
      <c r="F753" s="6"/>
      <c r="G753" s="6"/>
      <c r="H753" s="6"/>
    </row>
    <row r="754">
      <c r="F754" s="6"/>
      <c r="G754" s="6"/>
      <c r="H754" s="6"/>
    </row>
    <row r="755">
      <c r="F755" s="6"/>
      <c r="G755" s="6"/>
      <c r="H755" s="6"/>
    </row>
    <row r="756">
      <c r="F756" s="6"/>
      <c r="G756" s="6"/>
      <c r="H756" s="6"/>
    </row>
    <row r="757">
      <c r="F757" s="6"/>
      <c r="G757" s="6"/>
      <c r="H757" s="6"/>
    </row>
    <row r="758">
      <c r="F758" s="6"/>
      <c r="G758" s="6"/>
      <c r="H758" s="6"/>
    </row>
    <row r="759">
      <c r="F759" s="6"/>
      <c r="G759" s="6"/>
      <c r="H759" s="6"/>
    </row>
    <row r="760">
      <c r="F760" s="6"/>
      <c r="G760" s="6"/>
      <c r="H760" s="6"/>
    </row>
    <row r="761">
      <c r="F761" s="6"/>
      <c r="G761" s="6"/>
      <c r="H761" s="6"/>
    </row>
    <row r="762">
      <c r="F762" s="6"/>
      <c r="G762" s="6"/>
      <c r="H762" s="6"/>
    </row>
    <row r="763">
      <c r="F763" s="6"/>
      <c r="G763" s="6"/>
      <c r="H763" s="6"/>
    </row>
    <row r="764">
      <c r="F764" s="6"/>
      <c r="G764" s="6"/>
      <c r="H764" s="6"/>
    </row>
    <row r="765">
      <c r="F765" s="6"/>
      <c r="G765" s="6"/>
      <c r="H765" s="6"/>
    </row>
    <row r="766">
      <c r="F766" s="6"/>
      <c r="G766" s="6"/>
      <c r="H766" s="6"/>
    </row>
    <row r="767">
      <c r="F767" s="6"/>
      <c r="G767" s="6"/>
      <c r="H767" s="6"/>
    </row>
    <row r="768">
      <c r="F768" s="6"/>
      <c r="G768" s="6"/>
      <c r="H768" s="6"/>
    </row>
    <row r="769">
      <c r="F769" s="6"/>
      <c r="G769" s="6"/>
      <c r="H769" s="6"/>
    </row>
    <row r="770">
      <c r="F770" s="6"/>
      <c r="G770" s="6"/>
      <c r="H770" s="6"/>
    </row>
    <row r="771">
      <c r="F771" s="6"/>
      <c r="G771" s="6"/>
      <c r="H771" s="6"/>
    </row>
    <row r="772">
      <c r="F772" s="6"/>
      <c r="G772" s="6"/>
      <c r="H772" s="6"/>
    </row>
    <row r="773">
      <c r="F773" s="6"/>
      <c r="G773" s="6"/>
      <c r="H773" s="6"/>
    </row>
    <row r="774">
      <c r="F774" s="6"/>
      <c r="G774" s="6"/>
      <c r="H774" s="6"/>
    </row>
    <row r="775">
      <c r="F775" s="6"/>
      <c r="G775" s="6"/>
      <c r="H775" s="6"/>
    </row>
    <row r="776">
      <c r="F776" s="6"/>
      <c r="G776" s="6"/>
      <c r="H776" s="6"/>
    </row>
    <row r="777">
      <c r="F777" s="6"/>
      <c r="G777" s="6"/>
      <c r="H777" s="6"/>
    </row>
    <row r="778">
      <c r="F778" s="6"/>
      <c r="G778" s="6"/>
      <c r="H778" s="6"/>
    </row>
    <row r="779">
      <c r="F779" s="6"/>
      <c r="G779" s="6"/>
      <c r="H779" s="6"/>
    </row>
    <row r="780">
      <c r="F780" s="6"/>
      <c r="G780" s="6"/>
      <c r="H780" s="6"/>
    </row>
    <row r="781">
      <c r="F781" s="6"/>
      <c r="G781" s="6"/>
      <c r="H781" s="6"/>
    </row>
    <row r="782">
      <c r="F782" s="6"/>
      <c r="G782" s="6"/>
      <c r="H782" s="6"/>
    </row>
    <row r="783">
      <c r="F783" s="6"/>
      <c r="G783" s="6"/>
      <c r="H783" s="6"/>
    </row>
    <row r="784">
      <c r="F784" s="6"/>
      <c r="G784" s="6"/>
      <c r="H784" s="6"/>
    </row>
    <row r="785">
      <c r="F785" s="6"/>
      <c r="G785" s="6"/>
      <c r="H785" s="6"/>
    </row>
    <row r="786">
      <c r="F786" s="6"/>
      <c r="G786" s="6"/>
      <c r="H786" s="6"/>
    </row>
    <row r="787">
      <c r="F787" s="6"/>
      <c r="G787" s="6"/>
      <c r="H787" s="6"/>
    </row>
    <row r="788">
      <c r="F788" s="6"/>
      <c r="G788" s="6"/>
      <c r="H788" s="6"/>
    </row>
    <row r="789">
      <c r="F789" s="6"/>
      <c r="G789" s="6"/>
      <c r="H789" s="6"/>
    </row>
    <row r="790">
      <c r="F790" s="6"/>
      <c r="G790" s="6"/>
      <c r="H790" s="6"/>
    </row>
    <row r="791">
      <c r="F791" s="6"/>
      <c r="G791" s="6"/>
      <c r="H791" s="6"/>
    </row>
    <row r="792">
      <c r="F792" s="6"/>
      <c r="G792" s="6"/>
      <c r="H792" s="6"/>
    </row>
    <row r="793">
      <c r="F793" s="6"/>
      <c r="G793" s="6"/>
      <c r="H793" s="6"/>
    </row>
    <row r="794">
      <c r="F794" s="6"/>
      <c r="G794" s="6"/>
      <c r="H794" s="6"/>
    </row>
    <row r="795">
      <c r="F795" s="6"/>
      <c r="G795" s="6"/>
      <c r="H795" s="6"/>
    </row>
    <row r="796">
      <c r="F796" s="6"/>
      <c r="G796" s="6"/>
      <c r="H796" s="6"/>
    </row>
    <row r="797">
      <c r="F797" s="6"/>
      <c r="G797" s="6"/>
      <c r="H797" s="6"/>
    </row>
    <row r="798">
      <c r="F798" s="6"/>
      <c r="G798" s="6"/>
      <c r="H798" s="6"/>
    </row>
    <row r="799">
      <c r="F799" s="6"/>
      <c r="G799" s="6"/>
      <c r="H799" s="6"/>
    </row>
    <row r="800">
      <c r="F800" s="6"/>
      <c r="G800" s="6"/>
      <c r="H800" s="6"/>
    </row>
    <row r="801">
      <c r="F801" s="6"/>
      <c r="G801" s="6"/>
      <c r="H801" s="6"/>
    </row>
    <row r="802">
      <c r="F802" s="6"/>
      <c r="G802" s="6"/>
      <c r="H802" s="6"/>
    </row>
    <row r="803">
      <c r="F803" s="6"/>
      <c r="G803" s="6"/>
      <c r="H803" s="6"/>
    </row>
    <row r="804">
      <c r="F804" s="6"/>
      <c r="G804" s="6"/>
      <c r="H804" s="6"/>
    </row>
    <row r="805">
      <c r="F805" s="6"/>
      <c r="G805" s="6"/>
      <c r="H805" s="6"/>
    </row>
    <row r="806">
      <c r="F806" s="6"/>
      <c r="G806" s="6"/>
      <c r="H806" s="6"/>
    </row>
    <row r="807">
      <c r="F807" s="6"/>
      <c r="G807" s="6"/>
      <c r="H807" s="6"/>
    </row>
    <row r="808">
      <c r="F808" s="6"/>
      <c r="G808" s="6"/>
      <c r="H808" s="6"/>
    </row>
    <row r="809">
      <c r="F809" s="6"/>
      <c r="G809" s="6"/>
      <c r="H809" s="6"/>
    </row>
    <row r="810">
      <c r="F810" s="6"/>
      <c r="G810" s="6"/>
      <c r="H810" s="6"/>
    </row>
    <row r="811">
      <c r="F811" s="6"/>
      <c r="G811" s="6"/>
      <c r="H811" s="6"/>
    </row>
    <row r="812">
      <c r="F812" s="6"/>
      <c r="G812" s="6"/>
      <c r="H812" s="6"/>
    </row>
    <row r="813">
      <c r="F813" s="6"/>
      <c r="G813" s="6"/>
      <c r="H813" s="6"/>
    </row>
    <row r="814">
      <c r="F814" s="6"/>
      <c r="G814" s="6"/>
      <c r="H814" s="6"/>
    </row>
    <row r="815">
      <c r="F815" s="6"/>
      <c r="G815" s="6"/>
      <c r="H815" s="6"/>
    </row>
    <row r="816">
      <c r="F816" s="6"/>
      <c r="G816" s="6"/>
      <c r="H816" s="6"/>
    </row>
    <row r="817">
      <c r="F817" s="6"/>
      <c r="G817" s="6"/>
      <c r="H817" s="6"/>
    </row>
    <row r="818">
      <c r="F818" s="6"/>
      <c r="G818" s="6"/>
      <c r="H818" s="6"/>
    </row>
    <row r="819">
      <c r="F819" s="6"/>
      <c r="G819" s="6"/>
      <c r="H819" s="6"/>
    </row>
    <row r="820">
      <c r="F820" s="6"/>
      <c r="G820" s="6"/>
      <c r="H820" s="6"/>
    </row>
    <row r="821">
      <c r="F821" s="6"/>
      <c r="G821" s="6"/>
      <c r="H821" s="6"/>
    </row>
    <row r="822">
      <c r="F822" s="6"/>
      <c r="G822" s="6"/>
      <c r="H822" s="6"/>
    </row>
    <row r="823">
      <c r="F823" s="6"/>
      <c r="G823" s="6"/>
      <c r="H823" s="6"/>
    </row>
    <row r="824">
      <c r="F824" s="6"/>
      <c r="G824" s="6"/>
      <c r="H824" s="6"/>
    </row>
    <row r="825">
      <c r="F825" s="6"/>
      <c r="G825" s="6"/>
      <c r="H825" s="6"/>
    </row>
    <row r="826">
      <c r="F826" s="6"/>
      <c r="G826" s="6"/>
      <c r="H826" s="6"/>
    </row>
    <row r="827">
      <c r="F827" s="6"/>
      <c r="G827" s="6"/>
      <c r="H827" s="6"/>
    </row>
    <row r="828">
      <c r="F828" s="6"/>
      <c r="G828" s="6"/>
      <c r="H828" s="6"/>
    </row>
    <row r="829">
      <c r="F829" s="6"/>
      <c r="G829" s="6"/>
      <c r="H829" s="6"/>
    </row>
    <row r="830">
      <c r="F830" s="6"/>
      <c r="G830" s="6"/>
      <c r="H830" s="6"/>
    </row>
    <row r="831">
      <c r="F831" s="6"/>
      <c r="G831" s="6"/>
      <c r="H831" s="6"/>
    </row>
    <row r="832">
      <c r="F832" s="6"/>
      <c r="G832" s="6"/>
      <c r="H832" s="6"/>
    </row>
    <row r="833">
      <c r="F833" s="6"/>
      <c r="G833" s="6"/>
      <c r="H833" s="6"/>
    </row>
    <row r="834">
      <c r="F834" s="6"/>
      <c r="G834" s="6"/>
      <c r="H834" s="6"/>
    </row>
    <row r="835">
      <c r="F835" s="6"/>
      <c r="G835" s="6"/>
      <c r="H835" s="6"/>
    </row>
    <row r="836">
      <c r="F836" s="6"/>
      <c r="G836" s="6"/>
      <c r="H836" s="6"/>
    </row>
    <row r="837">
      <c r="F837" s="6"/>
      <c r="G837" s="6"/>
      <c r="H837" s="6"/>
    </row>
    <row r="838">
      <c r="F838" s="6"/>
      <c r="G838" s="6"/>
      <c r="H838" s="6"/>
    </row>
    <row r="839">
      <c r="F839" s="6"/>
      <c r="G839" s="6"/>
      <c r="H839" s="6"/>
    </row>
    <row r="840">
      <c r="F840" s="6"/>
      <c r="G840" s="6"/>
      <c r="H840" s="6"/>
    </row>
    <row r="841">
      <c r="F841" s="6"/>
      <c r="G841" s="6"/>
      <c r="H841" s="6"/>
    </row>
    <row r="842">
      <c r="F842" s="6"/>
      <c r="G842" s="6"/>
      <c r="H842" s="6"/>
    </row>
    <row r="843">
      <c r="F843" s="6"/>
      <c r="G843" s="6"/>
      <c r="H843" s="6"/>
    </row>
    <row r="844">
      <c r="F844" s="6"/>
      <c r="G844" s="6"/>
      <c r="H844" s="6"/>
    </row>
    <row r="845">
      <c r="F845" s="6"/>
      <c r="G845" s="6"/>
      <c r="H845" s="6"/>
    </row>
    <row r="846">
      <c r="F846" s="6"/>
      <c r="G846" s="6"/>
      <c r="H846" s="6"/>
    </row>
    <row r="847">
      <c r="F847" s="6"/>
      <c r="G847" s="6"/>
      <c r="H847" s="6"/>
    </row>
    <row r="848">
      <c r="F848" s="6"/>
      <c r="G848" s="6"/>
      <c r="H848" s="6"/>
    </row>
    <row r="849">
      <c r="F849" s="6"/>
      <c r="G849" s="6"/>
      <c r="H849" s="6"/>
    </row>
    <row r="850">
      <c r="F850" s="6"/>
      <c r="G850" s="6"/>
      <c r="H850" s="6"/>
    </row>
    <row r="851">
      <c r="F851" s="6"/>
      <c r="G851" s="6"/>
      <c r="H851" s="6"/>
    </row>
    <row r="852">
      <c r="F852" s="6"/>
      <c r="G852" s="6"/>
      <c r="H852" s="6"/>
    </row>
    <row r="853">
      <c r="F853" s="6"/>
      <c r="G853" s="6"/>
      <c r="H853" s="6"/>
    </row>
    <row r="854">
      <c r="F854" s="6"/>
      <c r="G854" s="6"/>
      <c r="H854" s="6"/>
    </row>
    <row r="855">
      <c r="F855" s="6"/>
      <c r="G855" s="6"/>
      <c r="H855" s="6"/>
    </row>
    <row r="856">
      <c r="F856" s="6"/>
      <c r="G856" s="6"/>
      <c r="H856" s="6"/>
    </row>
    <row r="857">
      <c r="F857" s="6"/>
      <c r="G857" s="6"/>
      <c r="H857" s="6"/>
    </row>
    <row r="858">
      <c r="F858" s="6"/>
      <c r="G858" s="6"/>
      <c r="H858" s="6"/>
    </row>
    <row r="859">
      <c r="F859" s="6"/>
      <c r="G859" s="6"/>
      <c r="H859" s="6"/>
    </row>
    <row r="860">
      <c r="F860" s="6"/>
      <c r="G860" s="6"/>
      <c r="H860" s="6"/>
    </row>
    <row r="861">
      <c r="F861" s="6"/>
      <c r="G861" s="6"/>
      <c r="H861" s="6"/>
    </row>
    <row r="862">
      <c r="F862" s="6"/>
      <c r="G862" s="6"/>
      <c r="H862" s="6"/>
    </row>
    <row r="863">
      <c r="F863" s="6"/>
      <c r="G863" s="6"/>
      <c r="H863" s="6"/>
    </row>
    <row r="864">
      <c r="F864" s="6"/>
      <c r="G864" s="6"/>
      <c r="H864" s="6"/>
    </row>
    <row r="865">
      <c r="F865" s="6"/>
      <c r="G865" s="6"/>
      <c r="H865" s="6"/>
    </row>
    <row r="866">
      <c r="F866" s="6"/>
      <c r="G866" s="6"/>
      <c r="H866" s="6"/>
    </row>
    <row r="867">
      <c r="F867" s="6"/>
      <c r="G867" s="6"/>
      <c r="H867" s="6"/>
    </row>
    <row r="868">
      <c r="F868" s="6"/>
      <c r="G868" s="6"/>
      <c r="H868" s="6"/>
    </row>
    <row r="869">
      <c r="F869" s="6"/>
      <c r="G869" s="6"/>
      <c r="H869" s="6"/>
    </row>
    <row r="870">
      <c r="F870" s="6"/>
      <c r="G870" s="6"/>
      <c r="H870" s="6"/>
    </row>
    <row r="871">
      <c r="F871" s="6"/>
      <c r="G871" s="6"/>
      <c r="H871" s="6"/>
    </row>
    <row r="872">
      <c r="F872" s="6"/>
      <c r="G872" s="6"/>
      <c r="H872" s="6"/>
    </row>
    <row r="873">
      <c r="F873" s="6"/>
      <c r="G873" s="6"/>
      <c r="H873" s="6"/>
    </row>
    <row r="874">
      <c r="F874" s="6"/>
      <c r="G874" s="6"/>
      <c r="H874" s="6"/>
    </row>
    <row r="875">
      <c r="F875" s="6"/>
      <c r="G875" s="6"/>
      <c r="H875" s="6"/>
    </row>
    <row r="876">
      <c r="F876" s="6"/>
      <c r="G876" s="6"/>
      <c r="H876" s="6"/>
    </row>
    <row r="877">
      <c r="F877" s="6"/>
      <c r="G877" s="6"/>
      <c r="H877" s="6"/>
    </row>
    <row r="878">
      <c r="F878" s="6"/>
      <c r="G878" s="6"/>
      <c r="H878" s="6"/>
    </row>
    <row r="879">
      <c r="F879" s="6"/>
      <c r="G879" s="6"/>
      <c r="H879" s="6"/>
    </row>
    <row r="880">
      <c r="F880" s="6"/>
      <c r="G880" s="6"/>
      <c r="H880" s="6"/>
    </row>
    <row r="881">
      <c r="F881" s="6"/>
      <c r="G881" s="6"/>
      <c r="H881" s="6"/>
    </row>
    <row r="882">
      <c r="F882" s="6"/>
      <c r="G882" s="6"/>
      <c r="H882" s="6"/>
    </row>
    <row r="883">
      <c r="F883" s="6"/>
      <c r="G883" s="6"/>
      <c r="H883" s="6"/>
    </row>
    <row r="884">
      <c r="F884" s="6"/>
      <c r="G884" s="6"/>
      <c r="H884" s="6"/>
    </row>
    <row r="885">
      <c r="F885" s="6"/>
      <c r="G885" s="6"/>
      <c r="H885" s="6"/>
    </row>
    <row r="886">
      <c r="F886" s="6"/>
      <c r="G886" s="6"/>
      <c r="H886" s="6"/>
    </row>
    <row r="887">
      <c r="F887" s="6"/>
      <c r="G887" s="6"/>
      <c r="H887" s="6"/>
    </row>
    <row r="888">
      <c r="F888" s="6"/>
      <c r="G888" s="6"/>
      <c r="H888" s="6"/>
    </row>
    <row r="889">
      <c r="F889" s="6"/>
      <c r="G889" s="6"/>
      <c r="H889" s="6"/>
    </row>
    <row r="890">
      <c r="F890" s="6"/>
      <c r="G890" s="6"/>
      <c r="H890" s="6"/>
    </row>
    <row r="891">
      <c r="F891" s="6"/>
      <c r="G891" s="6"/>
      <c r="H891" s="6"/>
    </row>
    <row r="892">
      <c r="F892" s="6"/>
      <c r="G892" s="6"/>
      <c r="H892" s="6"/>
    </row>
    <row r="893">
      <c r="F893" s="6"/>
      <c r="G893" s="6"/>
      <c r="H893" s="6"/>
    </row>
    <row r="894">
      <c r="F894" s="6"/>
      <c r="G894" s="6"/>
      <c r="H894" s="6"/>
    </row>
    <row r="895">
      <c r="F895" s="6"/>
      <c r="G895" s="6"/>
      <c r="H895" s="6"/>
    </row>
    <row r="896">
      <c r="F896" s="6"/>
      <c r="G896" s="6"/>
      <c r="H896" s="6"/>
    </row>
    <row r="897">
      <c r="F897" s="6"/>
      <c r="G897" s="6"/>
      <c r="H897" s="6"/>
    </row>
    <row r="898">
      <c r="F898" s="6"/>
      <c r="G898" s="6"/>
      <c r="H898" s="6"/>
    </row>
    <row r="899">
      <c r="F899" s="6"/>
      <c r="G899" s="6"/>
      <c r="H899" s="6"/>
    </row>
    <row r="900">
      <c r="F900" s="6"/>
      <c r="G900" s="6"/>
      <c r="H900" s="6"/>
    </row>
    <row r="901">
      <c r="F901" s="6"/>
      <c r="G901" s="6"/>
      <c r="H901" s="6"/>
    </row>
    <row r="902">
      <c r="F902" s="6"/>
      <c r="G902" s="6"/>
      <c r="H902" s="6"/>
    </row>
    <row r="903">
      <c r="F903" s="6"/>
      <c r="G903" s="6"/>
      <c r="H903" s="6"/>
    </row>
    <row r="904">
      <c r="F904" s="6"/>
      <c r="G904" s="6"/>
      <c r="H904" s="6"/>
    </row>
    <row r="905">
      <c r="F905" s="6"/>
      <c r="G905" s="6"/>
      <c r="H905" s="6"/>
    </row>
    <row r="906">
      <c r="F906" s="6"/>
      <c r="G906" s="6"/>
      <c r="H906" s="6"/>
    </row>
    <row r="907">
      <c r="F907" s="6"/>
      <c r="G907" s="6"/>
      <c r="H907" s="6"/>
    </row>
    <row r="908">
      <c r="F908" s="6"/>
      <c r="G908" s="6"/>
      <c r="H908" s="6"/>
    </row>
    <row r="909">
      <c r="F909" s="6"/>
      <c r="G909" s="6"/>
      <c r="H909" s="6"/>
    </row>
    <row r="910">
      <c r="F910" s="6"/>
      <c r="G910" s="6"/>
      <c r="H910" s="6"/>
    </row>
    <row r="911">
      <c r="F911" s="6"/>
      <c r="G911" s="6"/>
      <c r="H911" s="6"/>
    </row>
    <row r="912">
      <c r="F912" s="6"/>
      <c r="G912" s="6"/>
      <c r="H912" s="6"/>
    </row>
    <row r="913">
      <c r="F913" s="6"/>
      <c r="G913" s="6"/>
      <c r="H913" s="6"/>
    </row>
    <row r="914">
      <c r="F914" s="6"/>
      <c r="G914" s="6"/>
      <c r="H914" s="6"/>
    </row>
    <row r="915">
      <c r="F915" s="6"/>
      <c r="G915" s="6"/>
      <c r="H915" s="6"/>
    </row>
    <row r="916">
      <c r="F916" s="6"/>
      <c r="G916" s="6"/>
      <c r="H916" s="6"/>
    </row>
    <row r="917">
      <c r="F917" s="6"/>
      <c r="G917" s="6"/>
      <c r="H917" s="6"/>
    </row>
    <row r="918">
      <c r="F918" s="6"/>
      <c r="G918" s="6"/>
      <c r="H918" s="6"/>
    </row>
    <row r="919">
      <c r="F919" s="6"/>
      <c r="G919" s="6"/>
      <c r="H919" s="6"/>
    </row>
    <row r="920">
      <c r="F920" s="6"/>
      <c r="G920" s="6"/>
      <c r="H920" s="6"/>
    </row>
    <row r="921">
      <c r="F921" s="6"/>
      <c r="G921" s="6"/>
      <c r="H921" s="6"/>
    </row>
    <row r="922">
      <c r="F922" s="6"/>
      <c r="G922" s="6"/>
      <c r="H922" s="6"/>
    </row>
    <row r="923">
      <c r="F923" s="6"/>
      <c r="G923" s="6"/>
      <c r="H923" s="6"/>
    </row>
    <row r="924">
      <c r="F924" s="6"/>
      <c r="G924" s="6"/>
      <c r="H924" s="6"/>
    </row>
    <row r="925">
      <c r="F925" s="6"/>
      <c r="G925" s="6"/>
      <c r="H925" s="6"/>
    </row>
    <row r="926">
      <c r="F926" s="6"/>
      <c r="G926" s="6"/>
      <c r="H926" s="6"/>
    </row>
    <row r="927">
      <c r="F927" s="6"/>
      <c r="G927" s="6"/>
      <c r="H927" s="6"/>
    </row>
    <row r="928">
      <c r="F928" s="6"/>
      <c r="G928" s="6"/>
      <c r="H928" s="6"/>
    </row>
    <row r="929">
      <c r="F929" s="6"/>
      <c r="G929" s="6"/>
      <c r="H929" s="6"/>
    </row>
    <row r="930">
      <c r="F930" s="6"/>
      <c r="G930" s="6"/>
      <c r="H930" s="6"/>
    </row>
    <row r="931">
      <c r="F931" s="6"/>
      <c r="G931" s="6"/>
      <c r="H931" s="6"/>
    </row>
    <row r="932">
      <c r="F932" s="6"/>
      <c r="G932" s="6"/>
      <c r="H932" s="6"/>
    </row>
    <row r="933">
      <c r="F933" s="6"/>
      <c r="G933" s="6"/>
      <c r="H933" s="6"/>
    </row>
    <row r="934">
      <c r="F934" s="6"/>
      <c r="G934" s="6"/>
      <c r="H934" s="6"/>
    </row>
    <row r="935">
      <c r="F935" s="6"/>
      <c r="G935" s="6"/>
      <c r="H935" s="6"/>
    </row>
    <row r="936">
      <c r="F936" s="6"/>
      <c r="G936" s="6"/>
      <c r="H936" s="6"/>
    </row>
    <row r="937">
      <c r="F937" s="6"/>
      <c r="G937" s="6"/>
      <c r="H937" s="6"/>
    </row>
    <row r="938">
      <c r="F938" s="6"/>
      <c r="G938" s="6"/>
      <c r="H938" s="6"/>
    </row>
    <row r="939">
      <c r="F939" s="6"/>
      <c r="G939" s="6"/>
      <c r="H939" s="6"/>
    </row>
    <row r="940">
      <c r="F940" s="6"/>
      <c r="G940" s="6"/>
      <c r="H940" s="6"/>
    </row>
    <row r="941">
      <c r="F941" s="6"/>
      <c r="G941" s="6"/>
      <c r="H941" s="6"/>
    </row>
    <row r="942">
      <c r="F942" s="6"/>
      <c r="G942" s="6"/>
      <c r="H942" s="6"/>
    </row>
    <row r="943">
      <c r="F943" s="6"/>
      <c r="G943" s="6"/>
      <c r="H943" s="6"/>
    </row>
    <row r="944">
      <c r="F944" s="6"/>
      <c r="G944" s="6"/>
      <c r="H944" s="6"/>
    </row>
    <row r="945">
      <c r="F945" s="6"/>
      <c r="G945" s="6"/>
      <c r="H945" s="6"/>
    </row>
    <row r="946">
      <c r="F946" s="6"/>
      <c r="G946" s="6"/>
      <c r="H946" s="6"/>
    </row>
    <row r="947">
      <c r="F947" s="6"/>
      <c r="G947" s="6"/>
      <c r="H947" s="6"/>
    </row>
    <row r="948">
      <c r="F948" s="6"/>
      <c r="G948" s="6"/>
      <c r="H948" s="6"/>
    </row>
    <row r="949">
      <c r="F949" s="6"/>
      <c r="G949" s="6"/>
      <c r="H949" s="6"/>
    </row>
    <row r="950">
      <c r="F950" s="6"/>
      <c r="G950" s="6"/>
      <c r="H950" s="6"/>
    </row>
    <row r="951">
      <c r="F951" s="6"/>
      <c r="G951" s="6"/>
      <c r="H951" s="6"/>
    </row>
    <row r="952">
      <c r="F952" s="6"/>
      <c r="G952" s="6"/>
      <c r="H952" s="6"/>
    </row>
    <row r="953">
      <c r="F953" s="6"/>
      <c r="G953" s="6"/>
      <c r="H953" s="6"/>
    </row>
    <row r="954">
      <c r="F954" s="6"/>
      <c r="G954" s="6"/>
      <c r="H954" s="6"/>
    </row>
    <row r="955">
      <c r="F955" s="6"/>
      <c r="G955" s="6"/>
      <c r="H955" s="6"/>
    </row>
    <row r="956">
      <c r="F956" s="6"/>
      <c r="G956" s="6"/>
      <c r="H956" s="6"/>
    </row>
    <row r="957">
      <c r="F957" s="6"/>
      <c r="G957" s="6"/>
      <c r="H957" s="6"/>
    </row>
    <row r="958">
      <c r="F958" s="6"/>
      <c r="G958" s="6"/>
      <c r="H958" s="6"/>
    </row>
    <row r="959">
      <c r="F959" s="6"/>
      <c r="G959" s="6"/>
      <c r="H959" s="6"/>
    </row>
    <row r="960">
      <c r="F960" s="6"/>
      <c r="G960" s="6"/>
      <c r="H960" s="6"/>
    </row>
    <row r="961">
      <c r="F961" s="6"/>
      <c r="G961" s="6"/>
      <c r="H961" s="6"/>
    </row>
    <row r="962">
      <c r="F962" s="6"/>
      <c r="G962" s="6"/>
      <c r="H962" s="6"/>
    </row>
    <row r="963">
      <c r="F963" s="6"/>
      <c r="G963" s="6"/>
      <c r="H963" s="6"/>
    </row>
    <row r="964">
      <c r="F964" s="6"/>
      <c r="G964" s="6"/>
      <c r="H964" s="6"/>
    </row>
    <row r="965">
      <c r="F965" s="6"/>
      <c r="G965" s="6"/>
      <c r="H965" s="6"/>
    </row>
    <row r="966">
      <c r="F966" s="6"/>
      <c r="G966" s="6"/>
      <c r="H966" s="6"/>
    </row>
    <row r="967">
      <c r="F967" s="6"/>
      <c r="G967" s="6"/>
      <c r="H967" s="6"/>
    </row>
    <row r="968">
      <c r="F968" s="6"/>
      <c r="G968" s="6"/>
      <c r="H968" s="6"/>
    </row>
    <row r="969">
      <c r="F969" s="6"/>
      <c r="G969" s="6"/>
      <c r="H969" s="6"/>
    </row>
    <row r="970">
      <c r="F970" s="6"/>
      <c r="G970" s="6"/>
      <c r="H970" s="6"/>
    </row>
    <row r="971">
      <c r="F971" s="6"/>
      <c r="G971" s="6"/>
      <c r="H971" s="6"/>
    </row>
    <row r="972">
      <c r="F972" s="6"/>
      <c r="G972" s="6"/>
      <c r="H972" s="6"/>
    </row>
    <row r="973">
      <c r="F973" s="6"/>
      <c r="G973" s="6"/>
      <c r="H973" s="6"/>
    </row>
    <row r="974">
      <c r="F974" s="6"/>
      <c r="G974" s="6"/>
      <c r="H974" s="6"/>
    </row>
    <row r="975">
      <c r="F975" s="6"/>
      <c r="G975" s="6"/>
      <c r="H975" s="6"/>
    </row>
    <row r="976">
      <c r="F976" s="6"/>
      <c r="G976" s="6"/>
      <c r="H976" s="6"/>
    </row>
    <row r="977">
      <c r="F977" s="6"/>
      <c r="G977" s="6"/>
      <c r="H977" s="6"/>
    </row>
    <row r="978">
      <c r="F978" s="6"/>
      <c r="G978" s="6"/>
      <c r="H978" s="6"/>
    </row>
    <row r="979">
      <c r="F979" s="6"/>
      <c r="G979" s="6"/>
      <c r="H979" s="6"/>
    </row>
    <row r="980">
      <c r="F980" s="6"/>
      <c r="G980" s="6"/>
      <c r="H980" s="6"/>
    </row>
    <row r="981">
      <c r="F981" s="6"/>
      <c r="G981" s="6"/>
      <c r="H981" s="6"/>
    </row>
    <row r="982">
      <c r="F982" s="6"/>
      <c r="G982" s="6"/>
      <c r="H982" s="6"/>
    </row>
    <row r="983">
      <c r="F983" s="6"/>
      <c r="G983" s="6"/>
      <c r="H983" s="6"/>
    </row>
    <row r="984">
      <c r="F984" s="6"/>
      <c r="G984" s="6"/>
      <c r="H984" s="6"/>
    </row>
    <row r="985">
      <c r="F985" s="6"/>
      <c r="G985" s="6"/>
      <c r="H985" s="6"/>
    </row>
    <row r="986">
      <c r="F986" s="6"/>
      <c r="G986" s="6"/>
      <c r="H986" s="6"/>
    </row>
    <row r="987">
      <c r="F987" s="6"/>
      <c r="G987" s="6"/>
      <c r="H987" s="6"/>
    </row>
    <row r="988">
      <c r="F988" s="6"/>
      <c r="G988" s="6"/>
      <c r="H988" s="6"/>
    </row>
    <row r="989">
      <c r="F989" s="6"/>
      <c r="G989" s="6"/>
      <c r="H989" s="6"/>
    </row>
    <row r="990">
      <c r="F990" s="6"/>
      <c r="G990" s="6"/>
      <c r="H990" s="6"/>
    </row>
    <row r="991">
      <c r="F991" s="6"/>
      <c r="G991" s="6"/>
      <c r="H991" s="6"/>
    </row>
    <row r="992">
      <c r="F992" s="6"/>
      <c r="G992" s="6"/>
      <c r="H992" s="6"/>
    </row>
    <row r="993">
      <c r="F993" s="6"/>
      <c r="G993" s="6"/>
      <c r="H993" s="6"/>
    </row>
    <row r="994">
      <c r="F994" s="6"/>
      <c r="G994" s="6"/>
      <c r="H994" s="6"/>
    </row>
    <row r="995">
      <c r="F995" s="6"/>
      <c r="G995" s="6"/>
      <c r="H995" s="6"/>
    </row>
    <row r="996">
      <c r="F996" s="6"/>
      <c r="G996" s="6"/>
      <c r="H996" s="6"/>
    </row>
    <row r="997">
      <c r="F997" s="6"/>
      <c r="G997" s="6"/>
      <c r="H997" s="6"/>
    </row>
    <row r="998">
      <c r="F998" s="6"/>
      <c r="G998" s="6"/>
      <c r="H998" s="6"/>
    </row>
    <row r="999">
      <c r="F999" s="6"/>
      <c r="G999" s="6"/>
      <c r="H999" s="6"/>
    </row>
    <row r="1000">
      <c r="F1000" s="6"/>
      <c r="G1000" s="6"/>
      <c r="H1000" s="6"/>
    </row>
    <row r="1001">
      <c r="F1001" s="6"/>
      <c r="G1001" s="6"/>
      <c r="H1001" s="6"/>
    </row>
  </sheetData>
  <mergeCells count="3">
    <mergeCell ref="A1:O1"/>
    <mergeCell ref="C3:E3"/>
    <mergeCell ref="G3:N3"/>
  </mergeCells>
  <drawing r:id="rId1"/>
</worksheet>
</file>